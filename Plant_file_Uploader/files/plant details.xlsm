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myoffice.bsnconnect.com/personal/ub13600_dow_com/Documents/"/>
    </mc:Choice>
  </mc:AlternateContent>
  <xr:revisionPtr revIDLastSave="0" documentId="8_{D4701D34-3E4B-4B66-BB95-805C5F7FEA4C}" xr6:coauthVersionLast="47" xr6:coauthVersionMax="47" xr10:uidLastSave="{00000000-0000-0000-0000-000000000000}"/>
  <bookViews>
    <workbookView xWindow="-120" yWindow="-120" windowWidth="29040" windowHeight="15720" xr2:uid="{6E92CEC0-B7A2-4BC1-9F8E-A6728B6D93D9}"/>
  </bookViews>
  <sheets>
    <sheet name="demo1_Plant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2" l="1"/>
  <c r="V16" i="2"/>
  <c r="F17" i="2"/>
  <c r="G17" i="2" s="1"/>
  <c r="V17" i="2"/>
  <c r="V18" i="2"/>
  <c r="G19" i="2"/>
  <c r="V19" i="2"/>
  <c r="G21" i="2"/>
  <c r="V21" i="2"/>
  <c r="V24" i="2"/>
  <c r="V33" i="2"/>
  <c r="V34" i="2"/>
  <c r="V37" i="2"/>
  <c r="V38" i="2"/>
  <c r="D12" i="2" s="1"/>
  <c r="D24" i="2" l="1"/>
  <c r="D13" i="2"/>
  <c r="D2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Joswiak, Mark (MN)</author>
  </authors>
  <commentList>
    <comment ref="E11" authorId="0" shapeId="0" xr:uid="{00000000-0006-0000-0300-000001000000}">
      <text>
        <r>
          <rPr>
            <sz val="11"/>
            <color theme="1"/>
            <rFont val="Aptos Narrow"/>
            <family val="2"/>
            <scheme val="minor"/>
          </rPr>
          <t>Joswiak, Mark (MN):
Packing factor is impacted by catalyst loading.
Regular - catalyst loading with a regular template
Slow - catalyst loading with sleeves or template with small opening</t>
        </r>
      </text>
    </comment>
    <comment ref="E22" authorId="0" shapeId="0" xr:uid="{00000000-0006-0000-0300-000002000000}">
      <text>
        <r>
          <rPr>
            <sz val="11"/>
            <color theme="1"/>
            <rFont val="Aptos Narrow"/>
            <family val="2"/>
            <scheme val="minor"/>
          </rPr>
          <t>Joswiak, Mark (MN):
Initial void fraction is impacted by catalyst loading
Regular - catalyst loading with a regular template
Slow - catalyst loading with sleeves or template with small opening</t>
        </r>
      </text>
    </comment>
  </commentList>
</comments>
</file>

<file path=xl/sharedStrings.xml><?xml version="1.0" encoding="utf-8"?>
<sst xmlns="http://schemas.openxmlformats.org/spreadsheetml/2006/main" count="427" uniqueCount="325">
  <si>
    <t>No</t>
  </si>
  <si>
    <t>Adjust C2H4 to attain min outlet O2</t>
  </si>
  <si>
    <t>mole%</t>
  </si>
  <si>
    <t>Minimum outlet O2</t>
  </si>
  <si>
    <t/>
  </si>
  <si>
    <t>Min Outlet O2 and Adjusting C2H4</t>
  </si>
  <si>
    <t>CO2 table: inlet CO2 interval 10</t>
  </si>
  <si>
    <t>CO2 table: selectivity interval 10</t>
  </si>
  <si>
    <t xml:space="preserve">             </t>
  </si>
  <si>
    <t>Max pressure drop</t>
  </si>
  <si>
    <t>CO2 table: inlet CO2 interval 9</t>
  </si>
  <si>
    <t>CO2 table: selectivity interval 9</t>
  </si>
  <si>
    <t>psia</t>
  </si>
  <si>
    <t>Maximum pressure drop</t>
  </si>
  <si>
    <t>CO2 table: inlet CO2 interval 8</t>
  </si>
  <si>
    <t>CO2 table: selectivity interval 8</t>
  </si>
  <si>
    <t>Enforce Max Pressure Drop</t>
  </si>
  <si>
    <t>CO2 table: inlet CO2 interval 7</t>
  </si>
  <si>
    <t>CO2 table: selectivity interval 7</t>
  </si>
  <si>
    <t xml:space="preserve">          </t>
  </si>
  <si>
    <t>C2H4 purge loss</t>
  </si>
  <si>
    <t>CO2 table: inlet CO2 interval 6</t>
  </si>
  <si>
    <t>CO2 table: selectivity interval 6</t>
  </si>
  <si>
    <t>Constant: maintain same C2H4 feed rate</t>
  </si>
  <si>
    <t>% of inlet flow</t>
  </si>
  <si>
    <t>C2H4 purity</t>
  </si>
  <si>
    <t>CO2 table: inlet CO2 interval 5</t>
  </si>
  <si>
    <t>CO2 table: selectivity interval 5</t>
  </si>
  <si>
    <t>vol%</t>
  </si>
  <si>
    <t>Constant C2H4 feed rate</t>
  </si>
  <si>
    <t>CO2 table: inlet CO2 interval 4</t>
  </si>
  <si>
    <t>CO2 table: selectivity interval 4</t>
  </si>
  <si>
    <t>Usage: net consumption &amp; losses. ONLY use if have plant info about C2H4 feed purity and purge loss</t>
  </si>
  <si>
    <t>MT/h</t>
  </si>
  <si>
    <t>Max C2H4 usage rate</t>
  </si>
  <si>
    <t>CO2 table: inlet CO2 interval 3</t>
  </si>
  <si>
    <t>CO2 table: selectivity interval 3</t>
  </si>
  <si>
    <t>Max C2H4 net consumption rate</t>
  </si>
  <si>
    <t>CO2 table: inlet CO2 interval 2</t>
  </si>
  <si>
    <t>CO2 table: selectivity interval 2</t>
  </si>
  <si>
    <t>Net Consumption: Amount C2H4 consumed in reactor, i.e., min amount fresh C2H4 feed</t>
  </si>
  <si>
    <t>kg/s</t>
  </si>
  <si>
    <t>Chosen constraint on C2H4 flow</t>
  </si>
  <si>
    <t>CO2 table: inlet CO2 interval 1</t>
  </si>
  <si>
    <t>CO2 table: selectivity interval 1</t>
  </si>
  <si>
    <t>What's the difference?</t>
  </si>
  <si>
    <t>Net Consumption</t>
  </si>
  <si>
    <t>Ethylene flow constraint</t>
  </si>
  <si>
    <t>Inlet CO2 [%]</t>
  </si>
  <si>
    <t>Selectivity [%]</t>
  </si>
  <si>
    <t>Indicator</t>
  </si>
  <si>
    <t xml:space="preserve">         </t>
  </si>
  <si>
    <t>O2 purge loss</t>
  </si>
  <si>
    <t>Inlet CO2% / Selectivity Table</t>
  </si>
  <si>
    <t>O2 feed purity</t>
  </si>
  <si>
    <t>Usage: net consumption &amp; losses. ONLY use if have plant info about O2 feed purity and purge loss</t>
  </si>
  <si>
    <t>O2 purity</t>
  </si>
  <si>
    <t>Max O2 usage rate</t>
  </si>
  <si>
    <t>Max O2 net consumption rate</t>
  </si>
  <si>
    <t>set large # for last bin --^</t>
  </si>
  <si>
    <t>Net Consumption: Amount O2 consumed in reactor, i.e., min amount fresh O2 feed</t>
  </si>
  <si>
    <t>Chosen constraint on O2 net cons. or usage</t>
  </si>
  <si>
    <t>EO demand amt: interval 10</t>
  </si>
  <si>
    <t>EO demand time: interval 10</t>
  </si>
  <si>
    <t>O2 net consumption or usage rate</t>
  </si>
  <si>
    <t>EO demand amt: interval 9</t>
  </si>
  <si>
    <t>EO demand time: interval 9</t>
  </si>
  <si>
    <t xml:space="preserve">        </t>
  </si>
  <si>
    <t>EOL O2%</t>
  </si>
  <si>
    <t>EO demand amt: interval 8</t>
  </si>
  <si>
    <t>EO demand time: interval 8</t>
  </si>
  <si>
    <t>%</t>
  </si>
  <si>
    <t>End of life O2 level</t>
  </si>
  <si>
    <t>BOL O2%</t>
  </si>
  <si>
    <t>EO demand amt: interval 7</t>
  </si>
  <si>
    <t>EO demand time: interval 7</t>
  </si>
  <si>
    <t>Beginning of life O2 level</t>
  </si>
  <si>
    <t>Fixed max inlet O2%</t>
  </si>
  <si>
    <t>EO demand amt: interval 6</t>
  </si>
  <si>
    <t>EO demand time: interval 6</t>
  </si>
  <si>
    <t>Fixed max. inlet O2</t>
  </si>
  <si>
    <t>Safety amt below LOV</t>
  </si>
  <si>
    <t>EO demand amt: interval 5</t>
  </si>
  <si>
    <t>EO demand time: interval 5</t>
  </si>
  <si>
    <t>Safety amt. below LOV</t>
  </si>
  <si>
    <t>Chosen inlet O2% constraint</t>
  </si>
  <si>
    <t>EO demand amt: interval 4</t>
  </si>
  <si>
    <t>EO demand time: interval 4</t>
  </si>
  <si>
    <t>LOV</t>
  </si>
  <si>
    <t>Max Inlet O2 % Constraint</t>
  </si>
  <si>
    <t>EO demand amt: interval 3</t>
  </si>
  <si>
    <t>EO demand time: interval 3</t>
  </si>
  <si>
    <t xml:space="preserve">       </t>
  </si>
  <si>
    <t>EOL CO2%</t>
  </si>
  <si>
    <t>EO demand amt: interval 2</t>
  </si>
  <si>
    <t>EO demand time: interval 2</t>
  </si>
  <si>
    <t>End of life CO2 level</t>
  </si>
  <si>
    <t>BOL CO2%</t>
  </si>
  <si>
    <t>GHSV aging rate: interval 6</t>
  </si>
  <si>
    <t>GHSV aging time: interval 6</t>
  </si>
  <si>
    <t>EO demand amt: interval 1</t>
  </si>
  <si>
    <t>EO demand time: interval 1</t>
  </si>
  <si>
    <t>Beginning of life CO2 level</t>
  </si>
  <si>
    <t>Inlet CO2 intercept</t>
  </si>
  <si>
    <t>GHSV aging rate: interval 5</t>
  </si>
  <si>
    <t>GHSV aging time: interval 5</t>
  </si>
  <si>
    <t>Interval upper limit [months]</t>
  </si>
  <si>
    <t>Intercept</t>
  </si>
  <si>
    <t>Inlet CO2 slope</t>
  </si>
  <si>
    <t>GHSV aging rate: interval 4</t>
  </si>
  <si>
    <t>GHSV aging time: interval 4</t>
  </si>
  <si>
    <t>Max. EO Production Rate</t>
  </si>
  <si>
    <t>EO Demand Profile</t>
  </si>
  <si>
    <t>CO2in = slope*CO2gen[kg/s] + intercept</t>
  </si>
  <si>
    <t>%/(kg/s)</t>
  </si>
  <si>
    <t>Slope</t>
  </si>
  <si>
    <t>tubeID (in)</t>
  </si>
  <si>
    <t>CO2 removal efficiency</t>
  </si>
  <si>
    <t>GHSV aging rate: interval 3</t>
  </si>
  <si>
    <t>GHSV aging time: interval 3</t>
  </si>
  <si>
    <t>fraction</t>
  </si>
  <si>
    <t>CO2 Removal Efficiency</t>
  </si>
  <si>
    <t>Chosen inlet CO2 constraint</t>
  </si>
  <si>
    <t>GHSV aging rate: interval 2</t>
  </si>
  <si>
    <t>GHSV aging time: interval 2</t>
  </si>
  <si>
    <t>See below</t>
  </si>
  <si>
    <t>Slope-Intercept</t>
  </si>
  <si>
    <t>Inlet CO2 % Constraint</t>
  </si>
  <si>
    <t>m</t>
  </si>
  <si>
    <t>GHSV aging rate: interval 1</t>
  </si>
  <si>
    <t>GHSV aging time: interval 1</t>
  </si>
  <si>
    <t xml:space="preserve">      </t>
  </si>
  <si>
    <t>ft</t>
  </si>
  <si>
    <t xml:space="preserve">           </t>
  </si>
  <si>
    <t>mm</t>
  </si>
  <si>
    <t>Coefficient B in outlet gas T eqn</t>
  </si>
  <si>
    <t>Void fraction aging rate: interval 6</t>
  </si>
  <si>
    <t>Void fraction aging time: interval 6</t>
  </si>
  <si>
    <t>B (unit for EO production rate)</t>
  </si>
  <si>
    <t>in</t>
  </si>
  <si>
    <t>Coefficient A in outlet gas T eqn</t>
  </si>
  <si>
    <t>Void fraction aging rate: interval 5</t>
  </si>
  <si>
    <t>Void fraction aging time: interval 5</t>
  </si>
  <si>
    <t>deg C</t>
  </si>
  <si>
    <t>A (unit for temp)</t>
  </si>
  <si>
    <t>*what gets to in</t>
  </si>
  <si>
    <t>Void fraction aging rate: interval 4</t>
  </si>
  <si>
    <t>Void fraction aging time: interval 4</t>
  </si>
  <si>
    <t>Value</t>
  </si>
  <si>
    <t>Unit</t>
  </si>
  <si>
    <t>Coefficient</t>
  </si>
  <si>
    <t>Void fraction aging rate: interval 3</t>
  </si>
  <si>
    <t>Void fraction aging time: interval 3</t>
  </si>
  <si>
    <t>Estimate OGT from the TST (or ICT) and heat released from EO and CO2 formation. B parameter is fit to data. CO2 formation releases 12.6 times more heat than EO formation. Note EO and CO2 MW nearly identical.</t>
  </si>
  <si>
    <t>OGT = TST + A + B*EOprod*(1 + 12.6*2*(100-CE)/CE)</t>
  </si>
  <si>
    <t>Max outlet gas temperature</t>
  </si>
  <si>
    <t>Max TST</t>
  </si>
  <si>
    <t>Void fraction aging rate: interval 2</t>
  </si>
  <si>
    <t>Void fraction aging time: interval 2</t>
  </si>
  <si>
    <t>Max. Top Shell Temperature</t>
  </si>
  <si>
    <t>kPag</t>
  </si>
  <si>
    <t>Min outlet gas temperature</t>
  </si>
  <si>
    <t>Min TST</t>
  </si>
  <si>
    <t>Toggle using TST or OGT</t>
  </si>
  <si>
    <t>Void fraction aging rate: interval 1</t>
  </si>
  <si>
    <t>Void fraction aging time: interval 1</t>
  </si>
  <si>
    <t>Min. Top Shell Temperature</t>
  </si>
  <si>
    <t>kg/cm2g</t>
  </si>
  <si>
    <t>Aging Rate [1/day]</t>
  </si>
  <si>
    <t>UPPER LIMIT</t>
  </si>
  <si>
    <t>Select TST is using inlet coolant temp</t>
  </si>
  <si>
    <t>Top Shell Temp</t>
  </si>
  <si>
    <t>Max Top Shell T or Outlet Gas T?</t>
  </si>
  <si>
    <t>barg</t>
  </si>
  <si>
    <t>Time on stream [days]</t>
  </si>
  <si>
    <t xml:space="preserve">     </t>
  </si>
  <si>
    <t>psig</t>
  </si>
  <si>
    <t>IGT/TST</t>
  </si>
  <si>
    <t>GHSV</t>
  </si>
  <si>
    <t>Void Fraction</t>
  </si>
  <si>
    <t>--</t>
  </si>
  <si>
    <t>ΔIGT / ΔTST</t>
  </si>
  <si>
    <t>kPa</t>
  </si>
  <si>
    <t>Initial inlet gas T</t>
  </si>
  <si>
    <t xml:space="preserve">&lt;-- final rate = scaling factor * rates below.  Consult an SME before changing. This factor is typically between 0.5-1.1, depending on reactor design and conditions. </t>
  </si>
  <si>
    <t>Aging rate scaling factor--&gt;</t>
  </si>
  <si>
    <t>&lt;- Slow</t>
  </si>
  <si>
    <t>Initial Inlet Gas Temperature</t>
  </si>
  <si>
    <t>kg/cm2</t>
  </si>
  <si>
    <t>Initial void fraction</t>
  </si>
  <si>
    <t>Void fraction aging : scaling factor</t>
  </si>
  <si>
    <t>Pressure Drop Aging Related Constants</t>
  </si>
  <si>
    <t>&lt;- Regular</t>
  </si>
  <si>
    <t>Initial Void Fraction</t>
  </si>
  <si>
    <t>bar</t>
  </si>
  <si>
    <t>Type gas cycle compressor</t>
  </si>
  <si>
    <t>GHSV aging : scaling factor</t>
  </si>
  <si>
    <t>ε Catalyst Loading</t>
  </si>
  <si>
    <t>constant speed (GHSV varies)</t>
  </si>
  <si>
    <t>Cycle Gas Compressor Type (aka does GHSV vary?)</t>
  </si>
  <si>
    <t>Inlet pressure</t>
  </si>
  <si>
    <t>Max Coolant T</t>
  </si>
  <si>
    <t>Inlet Pressure</t>
  </si>
  <si>
    <t>- atm pressure</t>
  </si>
  <si>
    <t>*what gets to kg/cm2</t>
  </si>
  <si>
    <t>Ambient pressure</t>
  </si>
  <si>
    <t>Target time for delta EO</t>
  </si>
  <si>
    <t>#Months target for ΔEO above</t>
  </si>
  <si>
    <t>Max Coolant P</t>
  </si>
  <si>
    <t>Ambient Pressure</t>
  </si>
  <si>
    <t>kta</t>
  </si>
  <si>
    <t>Tubes per reactor</t>
  </si>
  <si>
    <t>Target delta EO</t>
  </si>
  <si>
    <t>Initialization GHSV or flowrate value (Initialization condition)</t>
  </si>
  <si>
    <t>Calculate initial flow rate/GHSV</t>
  </si>
  <si>
    <t>Initial inlet flow rate [m3/s]</t>
  </si>
  <si>
    <t>Flow @ STP</t>
  </si>
  <si>
    <t>Min Coolant T</t>
  </si>
  <si>
    <t>Number of Tubes per Reactor</t>
  </si>
  <si>
    <t>TPD</t>
  </si>
  <si>
    <t>Bed height</t>
  </si>
  <si>
    <t>Initial TST (Initialization condition)</t>
  </si>
  <si>
    <t>Initial Flow Calc Method</t>
  </si>
  <si>
    <t>Initial TST</t>
  </si>
  <si>
    <t>Min Coolant P</t>
  </si>
  <si>
    <t>Catalyst Bed Height</t>
  </si>
  <si>
    <t>klb/h</t>
  </si>
  <si>
    <t>Tube ID</t>
  </si>
  <si>
    <t>Inlet P (Initialization condition)</t>
  </si>
  <si>
    <t>Initial Plant Flow Rate/GHSV
Calculate : (most common) flow rate calc. from diff. between the plant and initialization conditions
Set : skip calc. &amp; just set flow rate</t>
  </si>
  <si>
    <t>Tube Inner Diameter</t>
  </si>
  <si>
    <t>lb/h</t>
  </si>
  <si>
    <t>Number of reactors</t>
  </si>
  <si>
    <t>Initialization Conditions</t>
  </si>
  <si>
    <t>m3</t>
  </si>
  <si>
    <t>Total Bed Volume</t>
  </si>
  <si>
    <t>see Tabls tab</t>
  </si>
  <si>
    <t>Current design-&gt;</t>
  </si>
  <si>
    <t>Ballast Option</t>
  </si>
  <si>
    <t>CH4% (Initialization condition)</t>
  </si>
  <si>
    <t>CH4 ballast</t>
  </si>
  <si>
    <t>CH4</t>
  </si>
  <si>
    <t>Green cells can be modified</t>
  </si>
  <si>
    <t xml:space="preserve">    </t>
  </si>
  <si>
    <t>Initial inlet %: EO</t>
  </si>
  <si>
    <t>Initial inlet % (Initialization conditions): EO</t>
  </si>
  <si>
    <t>EO</t>
  </si>
  <si>
    <t>Checks against client-provided data</t>
  </si>
  <si>
    <t>Design Conditions and Reactor Information</t>
  </si>
  <si>
    <t>*what gets to kg/h</t>
  </si>
  <si>
    <t>Initial inlet %: Ar</t>
  </si>
  <si>
    <t>Initial inlet % (Initialization conditions): Ar</t>
  </si>
  <si>
    <t>Ar</t>
  </si>
  <si>
    <t xml:space="preserve">   </t>
  </si>
  <si>
    <t>Packing factor</t>
  </si>
  <si>
    <t>Initial inlet %: N2</t>
  </si>
  <si>
    <t>Initial inlet % (Initialization conditions): N2</t>
  </si>
  <si>
    <t>&lt;-- not required if N2 ballast</t>
  </si>
  <si>
    <t>N2</t>
  </si>
  <si>
    <t>Actual Packing Factor</t>
  </si>
  <si>
    <t>Annual time on stream</t>
  </si>
  <si>
    <t>Initial inlet %: C2H6</t>
  </si>
  <si>
    <t>Initial inlet % (Initialization conditions): C2H6</t>
  </si>
  <si>
    <t>C2H6</t>
  </si>
  <si>
    <t>Catalyst Loading</t>
  </si>
  <si>
    <t>hours</t>
  </si>
  <si>
    <t>On-Stream Hours per Year</t>
  </si>
  <si>
    <t>deg F</t>
  </si>
  <si>
    <t>Catalyst lifetime</t>
  </si>
  <si>
    <t>Initial inlet %: C2H4</t>
  </si>
  <si>
    <t>Initial inlet % (Initialization conditions): C2H4</t>
  </si>
  <si>
    <t>C2H4</t>
  </si>
  <si>
    <t>Scroll ALL the way down to ensure all inputs are correct</t>
  </si>
  <si>
    <t>years</t>
  </si>
  <si>
    <t>Desired Catalyst Lifetime</t>
  </si>
  <si>
    <t>EO Production Rate/Work Rate</t>
  </si>
  <si>
    <t>Initial inlet % (Initialization conditions): O2</t>
  </si>
  <si>
    <t>O2</t>
  </si>
  <si>
    <t>NO</t>
  </si>
  <si>
    <t>blank</t>
  </si>
  <si>
    <t>temperature</t>
  </si>
  <si>
    <t>Initial inlet % (Initialization conditions): CO2</t>
  </si>
  <si>
    <t>initial CO2 and O2 will be solved for in model, but just have guesses here</t>
  </si>
  <si>
    <t>CO2</t>
  </si>
  <si>
    <t>Use EO demand profile?</t>
  </si>
  <si>
    <t xml:space="preserve">  </t>
  </si>
  <si>
    <t>Initial inlet %: H2O</t>
  </si>
  <si>
    <t>Initial inlet % (Initialization conditions): H2O</t>
  </si>
  <si>
    <t>H2O</t>
  </si>
  <si>
    <t>Required Performance</t>
  </si>
  <si>
    <t>Toggle use of EO demand profile</t>
  </si>
  <si>
    <t>Plant Conditions</t>
  </si>
  <si>
    <t>(mole %)</t>
  </si>
  <si>
    <t>other shadings = do NOT alter</t>
  </si>
  <si>
    <t xml:space="preserve"> </t>
  </si>
  <si>
    <t>Max P drop constraint</t>
  </si>
  <si>
    <t>Flow Rate and ΔP</t>
  </si>
  <si>
    <t>Feed Gas Composition</t>
  </si>
  <si>
    <t>&lt;-- red outline = drop-down menu</t>
  </si>
  <si>
    <t>options</t>
  </si>
  <si>
    <t>Pressure drop</t>
  </si>
  <si>
    <t>lb/h/ft3 bed</t>
  </si>
  <si>
    <t>Enforcing constant C2H4 feed restriction</t>
  </si>
  <si>
    <t>C2H4 usage rate constraint</t>
  </si>
  <si>
    <t>C2H4 net consumption rate constraint</t>
  </si>
  <si>
    <t>&lt;-- yellow = INPUT</t>
  </si>
  <si>
    <t>non-expert</t>
  </si>
  <si>
    <t>expert</t>
  </si>
  <si>
    <t>C2H4 consumption/usage rate</t>
  </si>
  <si>
    <t>kg/h/m3 bed</t>
  </si>
  <si>
    <t>Constraint on O2 usage rate</t>
  </si>
  <si>
    <t>Constraint on O2 net consumption rate</t>
  </si>
  <si>
    <t>Key for highlighted cell/text color</t>
  </si>
  <si>
    <t>YES</t>
  </si>
  <si>
    <t>O2 consumption/usage rate</t>
  </si>
  <si>
    <t>eoproductionunits</t>
  </si>
  <si>
    <t>workrateunits</t>
  </si>
  <si>
    <t>EO partial pressure constraint</t>
  </si>
  <si>
    <t>This set of plant inputs differs from the last loaded plant file (plant_G_recent F.xlsx) in the following:
Initialization GHSV or flowrate value (Initialization condition)
Void fraction aging rate: interval 1
Void fraction aging rate: interval 2
Void fraction aging rate: interval 3
Void fraction aging time: interval 1
Void fraction aging time: interval 2
Void fraction aging time: interval 3
GHSV aging rate: interval 1
GHSV aging rate: interval 2
GHSV aging rate: interval 3
GHSV aging time: interval 1
GHSV aging time: interval 2
GHSV aging time: interval 3
Initial inlet % (Initialization conditions): H2O
Initial inlet % (Initialization conditions): CO2
Initial inlet % (Initialization conditions): O2
Initial inlet % (Initialization conditions): C2H4
Initial inlet % (Initialization conditions): C2H6
Initial inlet % (Initialization conditions): Ar
Initial inlet % (Initialization conditions): EO
Initial inlet %: H2O
Initial inlet %: C2H4
Initial inlet %: C2H6
Initial inlet %: Ar
Initial inlet %: EO</t>
  </si>
  <si>
    <t>EO partial pressure &lt; 60kPa</t>
  </si>
  <si>
    <t>MOD-plant_G_recent F.xlsx</t>
  </si>
  <si>
    <t>filename</t>
  </si>
  <si>
    <t>Client Name</t>
  </si>
  <si>
    <t>Enforce?</t>
  </si>
  <si>
    <t>Constraints/Restrictions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</si>
</sst>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"/>
    <numFmt numFmtId="165" formatCode="0.000"/>
    <numFmt numFmtId="166" formatCode="0.0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u/>
      <sz val="11"/>
      <color theme="10"/>
      <name val="Aptos Narrow"/>
      <family val="2"/>
      <scheme val="minor"/>
    </font>
    <font>
      <u/>
      <sz val="11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name val="Times New Roman"/>
      <family val="1"/>
    </font>
    <font>
      <b/>
      <sz val="14"/>
      <color theme="0"/>
      <name val="Aptos Narrow"/>
      <family val="2"/>
      <scheme val="minor"/>
    </font>
    <font>
      <sz val="11"/>
      <color rgb="FFFBDE2D"/>
      <name val="Inherit"/>
    </font>
  </fonts>
  <fills count="1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79995117038483843"/>
        <bgColor indexed="64"/>
      </patternFill>
    </fill>
    <fill>
      <patternFill patternType="gray0625"/>
    </fill>
    <fill>
      <patternFill patternType="solid">
        <fgColor rgb="FF0070C0"/>
        <bgColor indexed="64"/>
      </patternFill>
    </fill>
    <fill>
      <patternFill patternType="gray0625">
        <bgColor theme="0"/>
      </patternFill>
    </fill>
    <fill>
      <patternFill patternType="solid">
        <fgColor indexed="6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0000"/>
        <bgColor indexed="64"/>
      </patternFill>
    </fill>
    <fill>
      <patternFill patternType="darkGray"/>
    </fill>
    <fill>
      <patternFill patternType="gray0625">
        <bgColor theme="1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indexed="64"/>
      </top>
      <bottom style="medium">
        <color rgb="FFFF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indexed="64"/>
      </right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FF0000"/>
      </right>
      <top style="medium">
        <color rgb="FFFF0000"/>
      </top>
      <bottom/>
      <diagonal/>
    </border>
  </borders>
  <cellStyleXfs count="5">
    <xf numFmtId="0" fontId="0" fillId="0" borderId="0"/>
    <xf numFmtId="0" fontId="1" fillId="4" borderId="0"/>
    <xf numFmtId="0" fontId="12" fillId="0" borderId="0"/>
    <xf numFmtId="0" fontId="5" fillId="2" borderId="0"/>
    <xf numFmtId="0" fontId="15" fillId="0" borderId="0"/>
  </cellStyleXfs>
  <cellXfs count="185">
    <xf numFmtId="0" fontId="0" fillId="0" borderId="0" xfId="0"/>
    <xf numFmtId="0" fontId="0" fillId="0" borderId="0" xfId="0" applyProtection="1">
      <protection locked="0"/>
    </xf>
    <xf numFmtId="0" fontId="6" fillId="3" borderId="1" xfId="0" applyFont="1" applyFill="1" applyBorder="1" applyProtection="1">
      <protection locked="0"/>
    </xf>
    <xf numFmtId="0" fontId="0" fillId="5" borderId="2" xfId="1" applyFont="1" applyFill="1" applyBorder="1" applyProtection="1">
      <protection locked="0"/>
    </xf>
    <xf numFmtId="0" fontId="7" fillId="3" borderId="3" xfId="0" applyFont="1" applyFill="1" applyBorder="1" applyProtection="1">
      <protection locked="0"/>
    </xf>
    <xf numFmtId="0" fontId="0" fillId="5" borderId="0" xfId="0" applyFill="1"/>
    <xf numFmtId="0" fontId="0" fillId="5" borderId="4" xfId="1" applyFont="1" applyFill="1" applyBorder="1" applyProtection="1"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0" fontId="2" fillId="7" borderId="5" xfId="0" applyFont="1" applyFill="1" applyBorder="1" applyProtection="1">
      <protection locked="0"/>
    </xf>
    <xf numFmtId="0" fontId="2" fillId="7" borderId="6" xfId="0" applyFont="1" applyFill="1" applyBorder="1" applyProtection="1">
      <protection locked="0"/>
    </xf>
    <xf numFmtId="164" fontId="0" fillId="8" borderId="0" xfId="0" applyNumberFormat="1" applyFill="1"/>
    <xf numFmtId="0" fontId="0" fillId="9" borderId="7" xfId="0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6" fillId="9" borderId="5" xfId="0" applyFont="1" applyFill="1" applyBorder="1" applyProtection="1">
      <protection locked="0"/>
    </xf>
    <xf numFmtId="0" fontId="8" fillId="9" borderId="6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9" borderId="4" xfId="0" applyFill="1" applyBorder="1" applyAlignment="1" applyProtection="1">
      <alignment horizontal="left"/>
      <protection locked="0"/>
    </xf>
    <xf numFmtId="0" fontId="0" fillId="5" borderId="8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0" borderId="4" xfId="0" applyBorder="1" applyProtection="1">
      <protection locked="0"/>
    </xf>
    <xf numFmtId="0" fontId="0" fillId="3" borderId="3" xfId="0" applyFill="1" applyBorder="1" applyProtection="1">
      <protection locked="0"/>
    </xf>
    <xf numFmtId="0" fontId="0" fillId="5" borderId="0" xfId="0" applyFill="1" applyProtection="1">
      <protection locked="0"/>
    </xf>
    <xf numFmtId="0" fontId="0" fillId="5" borderId="4" xfId="0" applyFill="1" applyBorder="1" applyProtection="1">
      <protection locked="0"/>
    </xf>
    <xf numFmtId="0" fontId="0" fillId="9" borderId="4" xfId="0" applyFill="1" applyBorder="1" applyAlignment="1" applyProtection="1">
      <alignment horizontal="left" vertical="top" wrapText="1"/>
      <protection locked="0"/>
    </xf>
    <xf numFmtId="0" fontId="0" fillId="3" borderId="7" xfId="0" applyFill="1" applyBorder="1" applyProtection="1">
      <protection locked="0"/>
    </xf>
    <xf numFmtId="0" fontId="0" fillId="9" borderId="0" xfId="0" applyFill="1" applyProtection="1">
      <protection locked="0"/>
    </xf>
    <xf numFmtId="0" fontId="9" fillId="9" borderId="0" xfId="0" applyFont="1" applyFill="1"/>
    <xf numFmtId="0" fontId="6" fillId="3" borderId="7" xfId="0" applyFont="1" applyFill="1" applyBorder="1" applyProtection="1">
      <protection locked="0"/>
    </xf>
    <xf numFmtId="0" fontId="0" fillId="0" borderId="9" xfId="0" applyBorder="1"/>
    <xf numFmtId="0" fontId="0" fillId="0" borderId="10" xfId="0" applyBorder="1"/>
    <xf numFmtId="0" fontId="0" fillId="6" borderId="0" xfId="0" applyFill="1" applyAlignment="1" applyProtection="1">
      <alignment vertical="top"/>
      <protection locked="0"/>
    </xf>
    <xf numFmtId="0" fontId="0" fillId="0" borderId="11" xfId="0" applyBorder="1"/>
    <xf numFmtId="0" fontId="4" fillId="0" borderId="6" xfId="0" applyFont="1" applyBorder="1"/>
    <xf numFmtId="0" fontId="3" fillId="6" borderId="0" xfId="0" applyFont="1" applyFill="1" applyProtection="1">
      <protection locked="0"/>
    </xf>
    <xf numFmtId="0" fontId="9" fillId="9" borderId="4" xfId="0" applyFont="1" applyFill="1" applyBorder="1" applyAlignment="1">
      <alignment horizontal="left"/>
    </xf>
    <xf numFmtId="0" fontId="6" fillId="3" borderId="12" xfId="0" applyFont="1" applyFill="1" applyBorder="1" applyProtection="1">
      <protection locked="0"/>
    </xf>
    <xf numFmtId="0" fontId="0" fillId="6" borderId="0" xfId="0" applyFill="1"/>
    <xf numFmtId="0" fontId="10" fillId="0" borderId="8" xfId="0" applyFont="1" applyBorder="1"/>
    <xf numFmtId="0" fontId="10" fillId="0" borderId="2" xfId="0" applyFont="1" applyBorder="1"/>
    <xf numFmtId="0" fontId="10" fillId="0" borderId="0" xfId="0" applyFont="1"/>
    <xf numFmtId="0" fontId="10" fillId="0" borderId="4" xfId="0" applyFont="1" applyBorder="1"/>
    <xf numFmtId="0" fontId="0" fillId="0" borderId="3" xfId="0" applyBorder="1" applyProtection="1">
      <protection locked="0"/>
    </xf>
    <xf numFmtId="0" fontId="11" fillId="7" borderId="6" xfId="0" applyFont="1" applyFill="1" applyBorder="1" applyAlignment="1">
      <alignment horizontal="right"/>
    </xf>
    <xf numFmtId="0" fontId="0" fillId="0" borderId="7" xfId="0" applyBorder="1" applyProtection="1">
      <protection locked="0"/>
    </xf>
    <xf numFmtId="0" fontId="0" fillId="0" borderId="13" xfId="0" applyBorder="1"/>
    <xf numFmtId="0" fontId="4" fillId="0" borderId="14" xfId="0" applyFont="1" applyBorder="1"/>
    <xf numFmtId="0" fontId="13" fillId="0" borderId="4" xfId="2" applyFont="1" applyBorder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center"/>
      <protection locked="0"/>
    </xf>
    <xf numFmtId="0" fontId="7" fillId="0" borderId="15" xfId="0" applyFont="1" applyBorder="1" applyProtection="1">
      <protection locked="0"/>
    </xf>
    <xf numFmtId="0" fontId="7" fillId="0" borderId="16" xfId="0" applyFont="1" applyBorder="1" applyProtection="1">
      <protection locked="0"/>
    </xf>
    <xf numFmtId="0" fontId="7" fillId="3" borderId="15" xfId="0" applyFont="1" applyFill="1" applyBorder="1" applyProtection="1">
      <protection locked="0"/>
    </xf>
    <xf numFmtId="0" fontId="7" fillId="3" borderId="16" xfId="0" applyFont="1" applyFill="1" applyBorder="1" applyProtection="1"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6" fillId="5" borderId="2" xfId="2" applyFont="1" applyFill="1" applyBorder="1" applyAlignment="1" applyProtection="1">
      <alignment horizontal="center"/>
      <protection locked="0"/>
    </xf>
    <xf numFmtId="0" fontId="7" fillId="0" borderId="9" xfId="0" applyFont="1" applyBorder="1" applyProtection="1">
      <protection locked="0"/>
    </xf>
    <xf numFmtId="0" fontId="7" fillId="0" borderId="10" xfId="0" applyFont="1" applyBorder="1" applyProtection="1">
      <protection locked="0"/>
    </xf>
    <xf numFmtId="0" fontId="7" fillId="3" borderId="9" xfId="0" applyFont="1" applyFill="1" applyBorder="1" applyProtection="1">
      <protection locked="0"/>
    </xf>
    <xf numFmtId="0" fontId="7" fillId="3" borderId="10" xfId="0" applyFont="1" applyFill="1" applyBorder="1" applyProtection="1">
      <protection locked="0"/>
    </xf>
    <xf numFmtId="0" fontId="10" fillId="3" borderId="7" xfId="0" applyFont="1" applyFill="1" applyBorder="1" applyAlignment="1" applyProtection="1">
      <alignment horizontal="lef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left"/>
      <protection locked="0"/>
    </xf>
    <xf numFmtId="0" fontId="0" fillId="5" borderId="18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 wrapText="1"/>
      <protection locked="0"/>
    </xf>
    <xf numFmtId="0" fontId="6" fillId="5" borderId="0" xfId="0" applyFont="1" applyFill="1" applyProtection="1">
      <protection locked="0"/>
    </xf>
    <xf numFmtId="0" fontId="8" fillId="5" borderId="4" xfId="0" applyFont="1" applyFill="1" applyBorder="1" applyAlignment="1" applyProtection="1">
      <alignment horizontal="left"/>
      <protection locked="0"/>
    </xf>
    <xf numFmtId="0" fontId="7" fillId="3" borderId="10" xfId="0" applyFont="1" applyFill="1" applyBorder="1" applyAlignment="1" applyProtection="1">
      <alignment horizontal="right"/>
      <protection locked="0"/>
    </xf>
    <xf numFmtId="0" fontId="2" fillId="6" borderId="0" xfId="0" applyFont="1" applyFill="1" applyAlignment="1" applyProtection="1">
      <alignment vertical="top"/>
      <protection locked="0"/>
    </xf>
    <xf numFmtId="0" fontId="10" fillId="3" borderId="7" xfId="0" applyFont="1" applyFill="1" applyBorder="1" applyProtection="1">
      <protection locked="0"/>
    </xf>
    <xf numFmtId="0" fontId="1" fillId="5" borderId="4" xfId="1" applyFill="1" applyBorder="1"/>
    <xf numFmtId="0" fontId="7" fillId="3" borderId="9" xfId="0" applyFont="1" applyFill="1" applyBorder="1" applyAlignment="1" applyProtection="1">
      <alignment horizontal="right"/>
      <protection locked="0"/>
    </xf>
    <xf numFmtId="0" fontId="0" fillId="5" borderId="4" xfId="1" applyFont="1" applyFill="1" applyBorder="1"/>
    <xf numFmtId="0" fontId="0" fillId="0" borderId="4" xfId="0" applyBorder="1"/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5" borderId="3" xfId="0" applyFill="1" applyBorder="1" applyAlignment="1">
      <alignment horizontal="right"/>
    </xf>
    <xf numFmtId="0" fontId="0" fillId="5" borderId="4" xfId="0" applyFill="1" applyBorder="1" applyAlignment="1">
      <alignment horizontal="right"/>
    </xf>
    <xf numFmtId="0" fontId="2" fillId="5" borderId="0" xfId="0" applyFont="1" applyFill="1" applyAlignment="1" applyProtection="1">
      <alignment vertical="top"/>
      <protection locked="0"/>
    </xf>
    <xf numFmtId="0" fontId="0" fillId="3" borderId="12" xfId="0" applyFill="1" applyBorder="1" applyProtection="1">
      <protection locked="0"/>
    </xf>
    <xf numFmtId="0" fontId="0" fillId="0" borderId="3" xfId="0" applyBorder="1"/>
    <xf numFmtId="0" fontId="0" fillId="5" borderId="3" xfId="0" applyFill="1" applyBorder="1"/>
    <xf numFmtId="0" fontId="8" fillId="0" borderId="3" xfId="0" applyFont="1" applyBorder="1"/>
    <xf numFmtId="0" fontId="8" fillId="0" borderId="4" xfId="0" applyFont="1" applyBorder="1" applyAlignment="1">
      <alignment horizontal="right"/>
    </xf>
    <xf numFmtId="0" fontId="2" fillId="7" borderId="3" xfId="0" applyFont="1" applyFill="1" applyBorder="1"/>
    <xf numFmtId="0" fontId="2" fillId="7" borderId="4" xfId="0" applyFont="1" applyFill="1" applyBorder="1" applyAlignment="1">
      <alignment horizontal="right"/>
    </xf>
    <xf numFmtId="0" fontId="6" fillId="3" borderId="19" xfId="0" applyFont="1" applyFill="1" applyBorder="1" applyProtection="1">
      <protection locked="0"/>
    </xf>
    <xf numFmtId="0" fontId="0" fillId="0" borderId="1" xfId="0" quotePrefix="1" applyBorder="1" applyProtection="1">
      <protection locked="0"/>
    </xf>
    <xf numFmtId="0" fontId="10" fillId="3" borderId="20" xfId="0" applyFont="1" applyFill="1" applyBorder="1" applyProtection="1">
      <protection locked="0"/>
    </xf>
    <xf numFmtId="0" fontId="14" fillId="9" borderId="4" xfId="0" applyFont="1" applyFill="1" applyBorder="1" applyAlignment="1">
      <alignment horizontal="left" vertical="top" wrapText="1"/>
    </xf>
    <xf numFmtId="0" fontId="7" fillId="0" borderId="11" xfId="0" applyFont="1" applyBorder="1" applyAlignment="1" applyProtection="1">
      <alignment horizontal="left"/>
      <protection locked="0"/>
    </xf>
    <xf numFmtId="0" fontId="0" fillId="0" borderId="6" xfId="0" applyBorder="1" applyAlignment="1">
      <alignment horizontal="right"/>
    </xf>
    <xf numFmtId="0" fontId="7" fillId="3" borderId="11" xfId="0" applyFont="1" applyFill="1" applyBorder="1" applyAlignment="1" applyProtection="1">
      <alignment horizontal="left"/>
      <protection locked="0"/>
    </xf>
    <xf numFmtId="0" fontId="0" fillId="5" borderId="6" xfId="0" applyFill="1" applyBorder="1" applyAlignment="1">
      <alignment horizontal="right"/>
    </xf>
    <xf numFmtId="0" fontId="0" fillId="5" borderId="0" xfId="0" applyFill="1" applyAlignment="1">
      <alignment horizontal="left" vertical="top"/>
    </xf>
    <xf numFmtId="165" fontId="3" fillId="5" borderId="0" xfId="0" applyNumberFormat="1" applyFont="1" applyFill="1"/>
    <xf numFmtId="0" fontId="1" fillId="4" borderId="4" xfId="1" applyBorder="1"/>
    <xf numFmtId="0" fontId="2" fillId="7" borderId="21" xfId="0" applyFont="1" applyFill="1" applyBorder="1"/>
    <xf numFmtId="0" fontId="2" fillId="7" borderId="22" xfId="0" applyFont="1" applyFill="1" applyBorder="1"/>
    <xf numFmtId="0" fontId="2" fillId="7" borderId="23" xfId="0" applyFont="1" applyFill="1" applyBorder="1"/>
    <xf numFmtId="0" fontId="2" fillId="6" borderId="0" xfId="0" applyFont="1" applyFill="1" applyProtection="1">
      <protection locked="0"/>
    </xf>
    <xf numFmtId="0" fontId="1" fillId="4" borderId="0" xfId="1" quotePrefix="1"/>
    <xf numFmtId="0" fontId="0" fillId="0" borderId="24" xfId="0" applyBorder="1" applyProtection="1">
      <protection locked="0"/>
    </xf>
    <xf numFmtId="0" fontId="0" fillId="3" borderId="7" xfId="0" applyFill="1" applyBorder="1" applyAlignment="1" applyProtection="1">
      <alignment horizontal="center" vertical="top"/>
      <protection locked="0"/>
    </xf>
    <xf numFmtId="0" fontId="10" fillId="10" borderId="25" xfId="0" applyFont="1" applyFill="1" applyBorder="1" applyProtection="1">
      <protection locked="0"/>
    </xf>
    <xf numFmtId="166" fontId="0" fillId="5" borderId="26" xfId="0" applyNumberFormat="1" applyFill="1" applyBorder="1"/>
    <xf numFmtId="0" fontId="0" fillId="5" borderId="16" xfId="0" applyFill="1" applyBorder="1" applyProtection="1">
      <protection locked="0"/>
    </xf>
    <xf numFmtId="2" fontId="0" fillId="3" borderId="3" xfId="0" applyNumberFormat="1" applyFill="1" applyBorder="1" applyProtection="1">
      <protection locked="0"/>
    </xf>
    <xf numFmtId="164" fontId="0" fillId="6" borderId="0" xfId="0" quotePrefix="1" applyNumberFormat="1" applyFill="1" applyProtection="1">
      <protection locked="0"/>
    </xf>
    <xf numFmtId="0" fontId="0" fillId="7" borderId="19" xfId="0" applyFill="1" applyBorder="1"/>
    <xf numFmtId="0" fontId="7" fillId="0" borderId="8" xfId="0" applyFont="1" applyBorder="1" applyProtection="1">
      <protection locked="0"/>
    </xf>
    <xf numFmtId="0" fontId="6" fillId="0" borderId="2" xfId="0" applyFont="1" applyBorder="1"/>
    <xf numFmtId="0" fontId="10" fillId="10" borderId="27" xfId="0" applyFont="1" applyFill="1" applyBorder="1" applyProtection="1">
      <protection locked="0"/>
    </xf>
    <xf numFmtId="0" fontId="0" fillId="10" borderId="28" xfId="0" applyFill="1" applyBorder="1" applyProtection="1">
      <protection locked="0"/>
    </xf>
    <xf numFmtId="0" fontId="0" fillId="5" borderId="29" xfId="0" applyFill="1" applyBorder="1" applyProtection="1">
      <protection locked="0"/>
    </xf>
    <xf numFmtId="0" fontId="6" fillId="3" borderId="7" xfId="0" applyFont="1" applyFill="1" applyBorder="1"/>
    <xf numFmtId="2" fontId="7" fillId="3" borderId="0" xfId="0" applyNumberFormat="1" applyFont="1" applyFill="1" applyProtection="1">
      <protection locked="0"/>
    </xf>
    <xf numFmtId="0" fontId="7" fillId="3" borderId="7" xfId="0" applyFont="1" applyFill="1" applyBorder="1" applyProtection="1">
      <protection locked="0"/>
    </xf>
    <xf numFmtId="166" fontId="0" fillId="5" borderId="28" xfId="0" applyNumberFormat="1" applyFill="1" applyBorder="1"/>
    <xf numFmtId="0" fontId="7" fillId="3" borderId="0" xfId="0" applyFont="1" applyFill="1" applyProtection="1">
      <protection locked="0"/>
    </xf>
    <xf numFmtId="0" fontId="0" fillId="5" borderId="4" xfId="0" applyFill="1" applyBorder="1"/>
    <xf numFmtId="164" fontId="0" fillId="6" borderId="0" xfId="0" applyNumberFormat="1" applyFill="1" applyAlignment="1" applyProtection="1">
      <alignment wrapText="1"/>
      <protection locked="0"/>
    </xf>
    <xf numFmtId="164" fontId="0" fillId="6" borderId="0" xfId="0" quotePrefix="1" applyNumberFormat="1" applyFill="1" applyAlignment="1" applyProtection="1">
      <alignment wrapText="1"/>
      <protection locked="0"/>
    </xf>
    <xf numFmtId="0" fontId="0" fillId="5" borderId="0" xfId="0" applyFill="1" applyAlignment="1" applyProtection="1">
      <alignment horizontal="left" vertical="top" wrapText="1"/>
      <protection locked="0"/>
    </xf>
    <xf numFmtId="0" fontId="0" fillId="10" borderId="27" xfId="0" applyFill="1" applyBorder="1" applyProtection="1">
      <protection locked="0"/>
    </xf>
    <xf numFmtId="2" fontId="0" fillId="5" borderId="28" xfId="0" applyNumberFormat="1" applyFill="1" applyBorder="1"/>
    <xf numFmtId="0" fontId="0" fillId="5" borderId="29" xfId="0" applyFill="1" applyBorder="1"/>
    <xf numFmtId="0" fontId="5" fillId="7" borderId="11" xfId="0" applyFont="1" applyFill="1" applyBorder="1"/>
    <xf numFmtId="0" fontId="2" fillId="7" borderId="5" xfId="0" applyFont="1" applyFill="1" applyBorder="1"/>
    <xf numFmtId="0" fontId="5" fillId="7" borderId="6" xfId="0" applyFont="1" applyFill="1" applyBorder="1"/>
    <xf numFmtId="0" fontId="0" fillId="9" borderId="0" xfId="0" applyFill="1"/>
    <xf numFmtId="0" fontId="0" fillId="5" borderId="30" xfId="0" applyFill="1" applyBorder="1"/>
    <xf numFmtId="0" fontId="0" fillId="5" borderId="8" xfId="0" applyFill="1" applyBorder="1"/>
    <xf numFmtId="0" fontId="0" fillId="5" borderId="2" xfId="0" applyFill="1" applyBorder="1"/>
    <xf numFmtId="0" fontId="0" fillId="10" borderId="3" xfId="0" applyFill="1" applyBorder="1" applyProtection="1"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10" borderId="4" xfId="0" applyFill="1" applyBorder="1" applyProtection="1">
      <protection locked="0"/>
    </xf>
    <xf numFmtId="0" fontId="8" fillId="6" borderId="0" xfId="0" applyFont="1" applyFill="1" applyProtection="1">
      <protection locked="0"/>
    </xf>
    <xf numFmtId="0" fontId="5" fillId="7" borderId="0" xfId="0" applyFont="1" applyFill="1"/>
    <xf numFmtId="0" fontId="5" fillId="7" borderId="4" xfId="0" applyFont="1" applyFill="1" applyBorder="1"/>
    <xf numFmtId="0" fontId="0" fillId="3" borderId="31" xfId="0" applyFill="1" applyBorder="1" applyProtection="1">
      <protection locked="0"/>
    </xf>
    <xf numFmtId="0" fontId="2" fillId="7" borderId="11" xfId="0" applyFont="1" applyFill="1" applyBorder="1" applyProtection="1">
      <protection locked="0"/>
    </xf>
    <xf numFmtId="0" fontId="5" fillId="7" borderId="5" xfId="3" applyFill="1" applyBorder="1"/>
    <xf numFmtId="0" fontId="2" fillId="7" borderId="6" xfId="3" applyFont="1" applyFill="1" applyBorder="1" applyAlignment="1">
      <alignment horizontal="left"/>
    </xf>
    <xf numFmtId="165" fontId="3" fillId="5" borderId="0" xfId="4" applyNumberFormat="1" applyFont="1" applyFill="1"/>
    <xf numFmtId="0" fontId="0" fillId="0" borderId="19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2" xfId="0" applyBorder="1" applyProtection="1">
      <protection locked="0"/>
    </xf>
    <xf numFmtId="0" fontId="1" fillId="4" borderId="8" xfId="1" quotePrefix="1" applyBorder="1"/>
    <xf numFmtId="0" fontId="1" fillId="4" borderId="2" xfId="1" applyBorder="1"/>
    <xf numFmtId="0" fontId="0" fillId="0" borderId="3" xfId="0" applyBorder="1" applyProtection="1">
      <protection locked="0"/>
    </xf>
    <xf numFmtId="0" fontId="1" fillId="4" borderId="0" xfId="1"/>
    <xf numFmtId="0" fontId="0" fillId="0" borderId="11" xfId="0" applyBorder="1" applyProtection="1">
      <protection locked="0"/>
    </xf>
    <xf numFmtId="0" fontId="0" fillId="0" borderId="5" xfId="0" applyBorder="1" applyProtection="1">
      <protection locked="0"/>
    </xf>
    <xf numFmtId="0" fontId="16" fillId="11" borderId="32" xfId="0" applyFont="1" applyFill="1" applyBorder="1" applyAlignment="1" applyProtection="1">
      <alignment horizontal="center" vertical="center" wrapText="1"/>
      <protection locked="0"/>
    </xf>
    <xf numFmtId="0" fontId="4" fillId="6" borderId="0" xfId="0" applyFont="1" applyFill="1" applyAlignment="1" applyProtection="1">
      <alignment vertical="center" wrapText="1"/>
      <protection locked="0"/>
    </xf>
    <xf numFmtId="0" fontId="3" fillId="0" borderId="33" xfId="2" applyFont="1" applyBorder="1" applyAlignment="1" applyProtection="1">
      <alignment horizontal="left"/>
      <protection locked="0"/>
    </xf>
    <xf numFmtId="0" fontId="4" fillId="3" borderId="7" xfId="0" applyFont="1" applyFill="1" applyBorder="1" applyAlignment="1" applyProtection="1">
      <alignment horizontal="right"/>
      <protection locked="0"/>
    </xf>
    <xf numFmtId="0" fontId="2" fillId="7" borderId="6" xfId="0" applyFont="1" applyFill="1" applyBorder="1"/>
    <xf numFmtId="0" fontId="2" fillId="7" borderId="31" xfId="0" applyFont="1" applyFill="1" applyBorder="1" applyAlignment="1">
      <alignment horizontal="center" wrapText="1"/>
    </xf>
    <xf numFmtId="0" fontId="2" fillId="7" borderId="0" xfId="0" applyFont="1" applyFill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0" fillId="7" borderId="19" xfId="0" applyFill="1" applyBorder="1" applyAlignment="1" applyProtection="1">
      <alignment wrapText="1"/>
      <protection locked="0"/>
    </xf>
    <xf numFmtId="0" fontId="0" fillId="5" borderId="8" xfId="0" applyFill="1" applyBorder="1" applyAlignment="1" applyProtection="1">
      <alignment wrapText="1"/>
      <protection locked="0"/>
    </xf>
    <xf numFmtId="0" fontId="0" fillId="6" borderId="8" xfId="0" applyFill="1" applyBorder="1" applyProtection="1">
      <protection locked="0"/>
    </xf>
    <xf numFmtId="0" fontId="6" fillId="12" borderId="2" xfId="0" applyFont="1" applyFill="1" applyBorder="1" applyAlignment="1" applyProtection="1">
      <alignment horizontal="left"/>
      <protection locked="0"/>
    </xf>
    <xf numFmtId="0" fontId="2" fillId="7" borderId="34" xfId="0" applyFont="1" applyFill="1" applyBorder="1" applyAlignment="1">
      <alignment wrapText="1"/>
    </xf>
    <xf numFmtId="0" fontId="2" fillId="7" borderId="5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0" fillId="3" borderId="35" xfId="0" applyFill="1" applyBorder="1" applyProtection="1">
      <protection locked="0"/>
    </xf>
    <xf numFmtId="0" fontId="0" fillId="4" borderId="2" xfId="1" applyFont="1" applyBorder="1" applyProtection="1">
      <protection locked="0"/>
    </xf>
    <xf numFmtId="0" fontId="2" fillId="6" borderId="0" xfId="0" applyFont="1" applyFill="1" applyAlignment="1">
      <alignment wrapText="1"/>
    </xf>
    <xf numFmtId="0" fontId="2" fillId="6" borderId="0" xfId="0" applyFont="1" applyFill="1"/>
    <xf numFmtId="0" fontId="0" fillId="3" borderId="0" xfId="0" applyFill="1" applyProtection="1">
      <protection locked="0"/>
    </xf>
    <xf numFmtId="0" fontId="7" fillId="3" borderId="4" xfId="0" applyFont="1" applyFill="1" applyBorder="1" applyProtection="1">
      <protection locked="0"/>
    </xf>
    <xf numFmtId="0" fontId="0" fillId="4" borderId="4" xfId="1" applyFont="1" applyBorder="1" applyProtection="1">
      <protection locked="0"/>
    </xf>
    <xf numFmtId="0" fontId="4" fillId="0" borderId="11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4" fillId="0" borderId="6" xfId="0" applyFont="1" applyBorder="1" applyProtection="1">
      <protection locked="0"/>
    </xf>
    <xf numFmtId="0" fontId="3" fillId="0" borderId="0" xfId="0" applyFont="1"/>
    <xf numFmtId="0" fontId="0" fillId="3" borderId="30" xfId="0" applyFill="1" applyBorder="1"/>
    <xf numFmtId="0" fontId="0" fillId="13" borderId="0" xfId="0" applyFill="1" applyProtection="1">
      <protection locked="0"/>
    </xf>
    <xf numFmtId="0" fontId="17" fillId="14" borderId="0" xfId="0" applyFont="1" applyFill="1" applyAlignment="1" applyProtection="1">
      <alignment vertical="center"/>
      <protection locked="0"/>
    </xf>
    <xf numFmtId="0" fontId="17" fillId="14" borderId="0" xfId="0" applyFont="1" applyFill="1" applyAlignment="1">
      <alignment vertical="center"/>
    </xf>
    <xf numFmtId="0" fontId="2" fillId="7" borderId="34" xfId="0" applyFont="1" applyFill="1" applyBorder="1"/>
  </cellXfs>
  <cellStyles count="5">
    <cellStyle name="20% - Accent1 2" xfId="1" xr:uid="{0BEDCAC1-AE05-4CDD-9199-E96CE1ED2950}"/>
    <cellStyle name="Accent2 2" xfId="3" xr:uid="{4CDB8289-539B-45CA-95B6-F3D5C6E9249A}"/>
    <cellStyle name="Hyperlink" xfId="2" builtinId="8"/>
    <cellStyle name="Normal" xfId="0" builtinId="0"/>
    <cellStyle name="Normal_Scaling_latest" xfId="4" xr:uid="{AD432F3D-39DD-43FB-A69B-BA1B04451082}"/>
  </cellStyles>
  <dxfs count="12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79995117038483843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79995117038483843"/>
        </patternFill>
      </fill>
    </dxf>
    <dxf>
      <fill>
        <patternFill>
          <bgColor rgb="FFFFFF00"/>
        </patternFill>
      </fill>
    </dxf>
    <dxf>
      <fill>
        <patternFill>
          <bgColor theme="4" tint="0.79995117038483843"/>
        </patternFill>
      </fill>
    </dxf>
    <dxf>
      <fill>
        <patternFill>
          <bgColor rgb="FFFFFF00"/>
        </patternFill>
      </fill>
    </dxf>
    <dxf>
      <fill>
        <patternFill>
          <bgColor theme="4" tint="0.79995117038483843"/>
        </patternFill>
      </fill>
    </dxf>
    <dxf>
      <fill>
        <patternFill>
          <bgColor rgb="FFFFFF00"/>
        </patternFill>
      </fill>
    </dxf>
    <dxf>
      <fill>
        <patternFill>
          <bgColor theme="4" tint="0.79995117038483843"/>
        </patternFill>
      </fill>
    </dxf>
    <dxf>
      <fill>
        <patternFill>
          <bgColor rgb="FFFFFF00"/>
        </patternFill>
      </fill>
    </dxf>
    <dxf>
      <font>
        <b/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theme="4" tint="0.79995117038483843"/>
        </patternFill>
      </fill>
    </dxf>
    <dxf>
      <fill>
        <patternFill>
          <bgColor rgb="FFFFFF00"/>
        </patternFill>
      </fill>
    </dxf>
    <dxf>
      <fill>
        <patternFill>
          <bgColor theme="4" tint="0.79995117038483843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79995117038483843"/>
        </patternFill>
      </fill>
    </dxf>
    <dxf>
      <font>
        <b/>
        <color theme="0"/>
      </font>
      <fill>
        <patternFill>
          <bgColor rgb="FF0070C0"/>
        </patternFill>
      </fill>
    </dxf>
    <dxf>
      <fill>
        <patternFill patternType="gray0625"/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bgColor theme="4" tint="0.79995117038483843"/>
        </patternFill>
      </fill>
    </dxf>
    <dxf>
      <fill>
        <patternFill>
          <bgColor theme="4" tint="0.79995117038483843"/>
        </patternFill>
      </fill>
    </dxf>
    <dxf>
      <fill>
        <patternFill>
          <bgColor rgb="FFFF0000"/>
        </patternFill>
      </fill>
    </dxf>
    <dxf>
      <numFmt numFmtId="164" formatCode=";;;"/>
      <fill>
        <patternFill patternType="gray0625">
          <bgColor theme="0"/>
        </patternFill>
      </fill>
    </dxf>
    <dxf>
      <numFmt numFmtId="164" formatCode=";;;"/>
      <fill>
        <patternFill>
          <bgColor rgb="FF0070C0"/>
        </patternFill>
      </fill>
      <border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4" formatCode=";;;"/>
      <fill>
        <patternFill patternType="gray0625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/>
        <right/>
        <top/>
        <bottom/>
        <vertical/>
        <horizontal/>
      </border>
    </dxf>
    <dxf>
      <numFmt numFmtId="164" formatCode=";;;"/>
      <fill>
        <patternFill patternType="gray0625">
          <bgColor theme="0"/>
        </patternFill>
      </fill>
      <border>
        <left/>
        <right/>
        <top/>
        <bottom/>
      </border>
    </dxf>
    <dxf>
      <font>
        <b/>
        <color theme="0"/>
      </font>
      <fill>
        <patternFill>
          <bgColor rgb="FF0070C0"/>
        </patternFill>
      </fill>
    </dxf>
    <dxf>
      <font>
        <color auto="1"/>
      </font>
      <numFmt numFmtId="164" formatCode=";;;"/>
      <fill>
        <patternFill patternType="gray0625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  <dxf>
      <font>
        <b/>
        <color theme="0"/>
      </font>
      <fill>
        <patternFill>
          <bgColor rgb="FF0070C0"/>
        </patternFill>
      </fill>
    </dxf>
    <dxf>
      <numFmt numFmtId="164" formatCode=";;;"/>
      <fill>
        <patternFill patternType="gray0625"/>
      </fill>
      <border>
        <left/>
        <right/>
        <top/>
        <bottom/>
      </border>
    </dxf>
    <dxf>
      <fill>
        <patternFill>
          <bgColor rgb="FFFFFF00"/>
        </patternFill>
      </fill>
    </dxf>
    <dxf>
      <numFmt numFmtId="164" formatCode=";;;"/>
      <fill>
        <patternFill patternType="gray0625">
          <bgColor theme="0"/>
        </patternFill>
      </fill>
    </dxf>
    <dxf>
      <numFmt numFmtId="164" formatCode=";;;"/>
      <fill>
        <patternFill patternType="gray0625"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64" formatCode=";;;"/>
      <fill>
        <patternFill patternType="gray0625">
          <bgColor theme="0"/>
        </patternFill>
      </fill>
    </dxf>
    <dxf>
      <numFmt numFmtId="164" formatCode=";;;"/>
      <fill>
        <patternFill patternType="gray0625">
          <bgColor theme="0"/>
        </patternFill>
      </fill>
    </dxf>
    <dxf>
      <numFmt numFmtId="164" formatCode=";;;"/>
      <fill>
        <patternFill patternType="gray0625">
          <bgColor theme="0"/>
        </patternFill>
      </fill>
    </dxf>
    <dxf>
      <numFmt numFmtId="164" formatCode=";;;"/>
      <fill>
        <patternFill patternType="gray0625">
          <bgColor theme="0"/>
        </patternFill>
      </fill>
      <border>
        <left/>
        <right/>
        <top/>
        <bottom/>
        <vertical/>
        <horizontal/>
      </border>
    </dxf>
    <dxf>
      <font>
        <b/>
        <color theme="0"/>
      </font>
      <fill>
        <patternFill>
          <bgColor rgb="FF0070C0"/>
        </patternFill>
      </fill>
    </dxf>
    <dxf>
      <fill>
        <patternFill>
          <bgColor theme="4" tint="0.79995117038483843"/>
        </patternFill>
      </fill>
    </dxf>
    <dxf>
      <font>
        <color auto="1"/>
      </font>
      <numFmt numFmtId="164" formatCode=";;;"/>
      <fill>
        <patternFill patternType="gray0625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numFmt numFmtId="164" formatCode=";;;"/>
      <fill>
        <patternFill patternType="gray0625">
          <bgColor theme="0"/>
        </patternFill>
      </fill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fill>
        <patternFill patternType="gray0625">
          <bgColor auto="1"/>
        </patternFill>
      </fill>
    </dxf>
    <dxf>
      <numFmt numFmtId="164" formatCode=";;;"/>
      <border>
        <left/>
        <right/>
        <top/>
        <bottom/>
        <vertical/>
        <horizontal/>
      </border>
    </dxf>
    <dxf>
      <numFmt numFmtId="164" formatCode=";;;"/>
      <fill>
        <patternFill patternType="gray0625">
          <bgColor theme="0"/>
        </patternFill>
      </fill>
    </dxf>
    <dxf>
      <fill>
        <patternFill>
          <bgColor theme="4" tint="0.79995117038483843"/>
        </patternFill>
      </fill>
    </dxf>
    <dxf>
      <font>
        <b/>
        <color theme="0"/>
      </font>
      <fill>
        <patternFill>
          <bgColor rgb="FF0070C0"/>
        </patternFill>
      </fill>
    </dxf>
    <dxf>
      <font>
        <b/>
        <color theme="0"/>
      </font>
      <fill>
        <patternFill>
          <bgColor rgb="FF0070C0"/>
        </patternFill>
      </fill>
    </dxf>
    <dxf>
      <font>
        <b/>
        <color theme="0"/>
      </font>
      <fill>
        <patternFill>
          <bgColor rgb="FF0070C0"/>
        </patternFill>
      </fill>
    </dxf>
    <dxf>
      <font>
        <b/>
        <color theme="0"/>
      </font>
      <fill>
        <patternFill>
          <bgColor rgb="FF0070C0"/>
        </patternFill>
      </fill>
    </dxf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  <dxf>
      <fill>
        <patternFill>
          <bgColor theme="4" tint="0.79995117038483843"/>
        </patternFill>
      </fill>
    </dxf>
    <dxf>
      <border>
        <left/>
        <right/>
        <top/>
        <bottom/>
        <vertical/>
        <horizontal/>
      </border>
    </dxf>
    <dxf>
      <numFmt numFmtId="164" formatCode=";;;"/>
      <fill>
        <patternFill patternType="gray0625"/>
      </fill>
      <border>
        <left/>
        <right/>
        <top/>
        <bottom/>
        <vertical/>
        <horizontal/>
      </border>
    </dxf>
    <dxf>
      <numFmt numFmtId="164" formatCode=";;;"/>
      <fill>
        <patternFill patternType="gray0625"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64" formatCode=";;;"/>
      <fill>
        <patternFill patternType="gray0625"/>
      </fill>
    </dxf>
    <dxf>
      <numFmt numFmtId="164" formatCode=";;;"/>
      <fill>
        <patternFill patternType="gray0625"/>
      </fill>
    </dxf>
    <dxf>
      <numFmt numFmtId="164" formatCode=";;;"/>
      <fill>
        <patternFill patternType="gray0625"/>
      </fill>
    </dxf>
    <dxf>
      <numFmt numFmtId="164" formatCode=";;;"/>
      <fill>
        <patternFill patternType="gray0625"/>
      </fill>
    </dxf>
    <dxf>
      <numFmt numFmtId="164" formatCode=";;;"/>
      <fill>
        <patternFill patternType="gray0625"/>
      </fill>
    </dxf>
    <dxf>
      <numFmt numFmtId="164" formatCode=";;;"/>
      <fill>
        <patternFill patternType="gray0625"/>
      </fill>
    </dxf>
    <dxf>
      <numFmt numFmtId="164" formatCode=";;;"/>
      <fill>
        <patternFill patternType="gray0625"/>
      </fill>
    </dxf>
    <dxf>
      <numFmt numFmtId="164" formatCode=";;;"/>
      <fill>
        <patternFill patternType="gray0625"/>
      </fill>
    </dxf>
    <dxf>
      <numFmt numFmtId="164" formatCode=";;;"/>
      <fill>
        <patternFill patternType="gray0625"/>
      </fill>
    </dxf>
    <dxf>
      <font>
        <color theme="0"/>
      </font>
      <numFmt numFmtId="164" formatCode=";;;"/>
    </dxf>
    <dxf>
      <fill>
        <patternFill patternType="gray0625"/>
      </fill>
    </dxf>
    <dxf>
      <font>
        <color auto="1"/>
      </font>
      <numFmt numFmtId="164" formatCode=";;;"/>
      <fill>
        <patternFill patternType="gray0625"/>
      </fill>
    </dxf>
    <dxf>
      <font>
        <color auto="1"/>
      </font>
      <numFmt numFmtId="164" formatCode=";;;"/>
      <fill>
        <patternFill patternType="gray0625"/>
      </fill>
    </dxf>
    <dxf>
      <font>
        <color auto="1"/>
      </font>
      <numFmt numFmtId="164" formatCode=";;;"/>
      <fill>
        <patternFill patternType="gray0625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64" formatCode=";;;"/>
      <fill>
        <patternFill patternType="gray0625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1A1C0-A311-4D96-A23E-A846E9AE8F58}">
  <sheetPr codeName="Sheet2">
    <pageSetUpPr autoPageBreaks="0"/>
  </sheetPr>
  <dimension ref="A1:X67"/>
  <sheetViews>
    <sheetView tabSelected="1" topLeftCell="A16" zoomScale="70" zoomScaleNormal="70" workbookViewId="0">
      <selection activeCell="H44" sqref="H44"/>
    </sheetView>
  </sheetViews>
  <sheetFormatPr defaultColWidth="8.85546875" defaultRowHeight="15"/>
  <cols>
    <col min="1" max="1" width="34.42578125" style="1" customWidth="1"/>
    <col min="2" max="2" width="17.28515625" style="1" customWidth="1"/>
    <col min="3" max="3" width="14.42578125" style="1" customWidth="1"/>
    <col min="4" max="4" width="15.28515625" style="1" customWidth="1"/>
    <col min="5" max="5" width="13.5703125" style="1" customWidth="1"/>
    <col min="6" max="6" width="16.42578125" style="1" customWidth="1"/>
    <col min="7" max="7" width="9.85546875" style="1" customWidth="1"/>
    <col min="8" max="9" width="13.28515625" style="1" customWidth="1"/>
    <col min="10" max="10" width="26.7109375" style="1" customWidth="1"/>
    <col min="11" max="11" width="22.42578125" style="1" customWidth="1"/>
    <col min="12" max="12" width="24.140625" style="1" customWidth="1"/>
    <col min="13" max="13" width="19" style="1" customWidth="1"/>
    <col min="14" max="14" width="11.85546875" style="1" customWidth="1"/>
    <col min="15" max="19" width="8.85546875" style="1" customWidth="1"/>
    <col min="20" max="20" width="8.140625" style="1" hidden="1" customWidth="1"/>
    <col min="21" max="21" width="13" style="1" hidden="1" customWidth="1"/>
    <col min="22" max="22" width="19.7109375" style="1" hidden="1" customWidth="1"/>
    <col min="23" max="23" width="8.85546875" style="1" hidden="1" customWidth="1"/>
    <col min="24" max="24" width="8.85546875" style="1" customWidth="1"/>
    <col min="25" max="16384" width="8.85546875" style="1"/>
  </cols>
  <sheetData>
    <row r="1" spans="1:24" ht="14.45" customHeight="1" thickBot="1">
      <c r="A1" s="10" t="s">
        <v>324</v>
      </c>
      <c r="B1" s="9" t="s">
        <v>323</v>
      </c>
      <c r="C1"/>
      <c r="D1" s="184" t="s">
        <v>322</v>
      </c>
      <c r="E1" s="5" t="s">
        <v>321</v>
      </c>
      <c r="F1" s="183" t="s">
        <v>320</v>
      </c>
      <c r="G1" s="183"/>
      <c r="H1" s="182"/>
      <c r="I1" s="182"/>
      <c r="J1" s="182"/>
      <c r="K1" s="182"/>
      <c r="L1" s="182"/>
      <c r="M1" s="182"/>
      <c r="N1" s="181"/>
      <c r="O1" s="7"/>
      <c r="P1" s="7"/>
      <c r="Q1" s="7"/>
      <c r="R1" s="7"/>
      <c r="S1" s="7"/>
      <c r="T1" s="7"/>
      <c r="U1" s="7"/>
      <c r="V1" s="7"/>
      <c r="W1" s="7"/>
      <c r="X1" s="7"/>
    </row>
    <row r="2" spans="1:24" ht="14.45" customHeight="1" thickBot="1">
      <c r="A2" s="175" t="s">
        <v>319</v>
      </c>
      <c r="B2" s="28" t="s">
        <v>278</v>
      </c>
      <c r="C2"/>
      <c r="D2" s="180" t="s">
        <v>4</v>
      </c>
      <c r="E2" s="37"/>
      <c r="F2" s="179" t="s">
        <v>318</v>
      </c>
      <c r="H2" s="8"/>
      <c r="I2" s="8"/>
      <c r="J2" s="8"/>
      <c r="K2" s="8"/>
      <c r="L2" s="8"/>
      <c r="M2" s="8"/>
      <c r="N2" s="8"/>
      <c r="O2" s="7"/>
      <c r="P2" s="7"/>
      <c r="Q2" s="7"/>
      <c r="R2" s="7" t="s">
        <v>317</v>
      </c>
      <c r="S2" s="7"/>
      <c r="T2" s="7"/>
      <c r="U2" s="7" t="s">
        <v>316</v>
      </c>
      <c r="V2" s="7" t="s">
        <v>315</v>
      </c>
      <c r="W2" s="7" t="s">
        <v>219</v>
      </c>
      <c r="X2" s="7"/>
    </row>
    <row r="3" spans="1:24" ht="15" customHeight="1" thickBot="1">
      <c r="A3" s="175" t="s">
        <v>314</v>
      </c>
      <c r="B3" s="28" t="s">
        <v>313</v>
      </c>
      <c r="C3"/>
      <c r="D3" s="8"/>
      <c r="E3" s="178"/>
      <c r="F3" s="177" t="s">
        <v>312</v>
      </c>
      <c r="G3" s="177"/>
      <c r="H3" s="176"/>
      <c r="I3" s="8"/>
      <c r="J3" s="8"/>
      <c r="K3" s="8"/>
      <c r="L3" s="8"/>
      <c r="M3" s="8"/>
      <c r="N3" s="8"/>
      <c r="O3" s="7"/>
      <c r="P3" s="7"/>
      <c r="Q3" s="7"/>
      <c r="R3" s="7" t="s">
        <v>311</v>
      </c>
      <c r="S3" s="7" t="s">
        <v>310</v>
      </c>
      <c r="T3" s="7" t="s">
        <v>309</v>
      </c>
      <c r="U3" s="7" t="s">
        <v>309</v>
      </c>
      <c r="V3" s="7" t="s">
        <v>33</v>
      </c>
      <c r="W3" s="7" t="s">
        <v>33</v>
      </c>
      <c r="X3" s="7"/>
    </row>
    <row r="4" spans="1:24" ht="15" customHeight="1" thickBot="1">
      <c r="A4" s="175" t="s">
        <v>308</v>
      </c>
      <c r="B4" s="28" t="s">
        <v>278</v>
      </c>
      <c r="C4"/>
      <c r="D4" s="8"/>
      <c r="E4" s="174" t="s">
        <v>307</v>
      </c>
      <c r="F4" s="173" t="s">
        <v>306</v>
      </c>
      <c r="G4" s="1" t="s">
        <v>305</v>
      </c>
      <c r="H4" s="42"/>
      <c r="I4" s="8"/>
      <c r="J4" s="172"/>
      <c r="K4" s="172"/>
      <c r="L4" s="171"/>
      <c r="M4" s="8"/>
      <c r="N4" s="8"/>
      <c r="O4" s="7"/>
      <c r="P4" s="7"/>
      <c r="Q4" s="7" t="s">
        <v>304</v>
      </c>
      <c r="R4" s="7" t="s">
        <v>303</v>
      </c>
      <c r="S4" s="7" t="s">
        <v>302</v>
      </c>
      <c r="T4" s="7" t="s">
        <v>301</v>
      </c>
      <c r="U4" s="7" t="s">
        <v>301</v>
      </c>
      <c r="V4" s="7" t="s">
        <v>41</v>
      </c>
      <c r="W4" s="7" t="s">
        <v>41</v>
      </c>
      <c r="X4" s="7"/>
    </row>
    <row r="5" spans="1:24" ht="15" customHeight="1" thickBot="1">
      <c r="A5" s="170" t="s">
        <v>300</v>
      </c>
      <c r="B5" s="2" t="s">
        <v>278</v>
      </c>
      <c r="C5"/>
      <c r="D5" s="8"/>
      <c r="E5" s="169" t="s">
        <v>299</v>
      </c>
      <c r="F5" s="1" t="s">
        <v>298</v>
      </c>
      <c r="H5" s="42"/>
      <c r="I5" s="8"/>
      <c r="J5" s="168" t="s">
        <v>297</v>
      </c>
      <c r="K5" s="167" t="s">
        <v>296</v>
      </c>
      <c r="L5" s="166"/>
      <c r="M5" s="8"/>
      <c r="N5" s="8"/>
      <c r="O5" s="7"/>
      <c r="P5" s="7"/>
      <c r="Q5" s="7"/>
      <c r="R5" s="7" t="s">
        <v>295</v>
      </c>
      <c r="S5" s="7"/>
      <c r="T5" s="7"/>
      <c r="U5" s="7"/>
      <c r="V5" s="7" t="s">
        <v>231</v>
      </c>
      <c r="W5" s="7" t="s">
        <v>231</v>
      </c>
      <c r="X5" s="7"/>
    </row>
    <row r="6" spans="1:24" ht="15" customHeight="1" thickBot="1">
      <c r="A6" s="8" t="s">
        <v>294</v>
      </c>
      <c r="B6" s="8" t="s">
        <v>4</v>
      </c>
      <c r="C6"/>
      <c r="D6" s="8"/>
      <c r="E6" s="165"/>
      <c r="F6" s="164" t="s">
        <v>293</v>
      </c>
      <c r="G6" s="163"/>
      <c r="H6" s="162"/>
      <c r="I6" s="8"/>
      <c r="J6" s="161" t="s">
        <v>292</v>
      </c>
      <c r="K6" s="160" t="s">
        <v>233</v>
      </c>
      <c r="L6" s="159" t="s">
        <v>291</v>
      </c>
      <c r="M6" s="8"/>
      <c r="N6" s="8"/>
      <c r="O6" s="7"/>
      <c r="P6" s="7" t="s">
        <v>290</v>
      </c>
      <c r="Q6" s="7"/>
      <c r="R6" s="7"/>
      <c r="S6" s="7"/>
      <c r="T6" s="7"/>
      <c r="U6" s="7"/>
      <c r="V6" s="7" t="s">
        <v>226</v>
      </c>
      <c r="W6" s="7" t="s">
        <v>226</v>
      </c>
      <c r="X6" s="7"/>
    </row>
    <row r="7" spans="1:24" ht="14.45" customHeight="1">
      <c r="A7" s="158" t="s">
        <v>289</v>
      </c>
      <c r="B7" s="128" t="s">
        <v>4</v>
      </c>
      <c r="C7"/>
      <c r="D7" s="37"/>
      <c r="E7" s="8"/>
      <c r="F7" s="8"/>
      <c r="G7" s="8"/>
      <c r="H7" s="8"/>
      <c r="I7" s="8"/>
      <c r="J7" s="120" t="s">
        <v>288</v>
      </c>
      <c r="K7" s="119">
        <v>0.3</v>
      </c>
      <c r="L7" s="140">
        <v>0.3</v>
      </c>
      <c r="M7" s="8"/>
      <c r="N7" s="8"/>
      <c r="O7" s="7"/>
      <c r="P7" s="7" t="s">
        <v>287</v>
      </c>
      <c r="Q7" s="7" t="s">
        <v>286</v>
      </c>
      <c r="R7" s="7"/>
      <c r="S7" s="7"/>
      <c r="T7" s="7"/>
      <c r="U7" s="7"/>
      <c r="V7" s="7"/>
      <c r="W7" s="7" t="s">
        <v>210</v>
      </c>
      <c r="X7" s="7"/>
    </row>
    <row r="8" spans="1:24" ht="15" customHeight="1" thickBot="1">
      <c r="A8" s="139" t="s">
        <v>285</v>
      </c>
      <c r="B8" s="138" t="s">
        <v>149</v>
      </c>
      <c r="C8" t="s">
        <v>148</v>
      </c>
      <c r="D8" s="5" t="s">
        <v>284</v>
      </c>
      <c r="E8" s="22"/>
      <c r="F8" s="8"/>
      <c r="G8" s="8"/>
      <c r="H8" s="8"/>
      <c r="I8" s="8"/>
      <c r="J8" s="120" t="s">
        <v>283</v>
      </c>
      <c r="K8" s="119">
        <v>1.4</v>
      </c>
      <c r="L8" s="140">
        <v>2.3250073001771114</v>
      </c>
      <c r="M8" s="130" t="s">
        <v>282</v>
      </c>
      <c r="N8" s="8"/>
      <c r="O8" s="7"/>
      <c r="P8" s="7" t="s">
        <v>281</v>
      </c>
      <c r="Q8" s="7"/>
      <c r="R8" s="7"/>
      <c r="S8" s="7"/>
      <c r="T8" s="7"/>
      <c r="U8" s="7" t="s">
        <v>280</v>
      </c>
      <c r="V8" s="7" t="s">
        <v>279</v>
      </c>
      <c r="W8" s="7"/>
      <c r="X8" s="7"/>
    </row>
    <row r="9" spans="1:24" ht="15" customHeight="1" thickBot="1">
      <c r="A9" s="44" t="s">
        <v>111</v>
      </c>
      <c r="B9" s="44" t="s">
        <v>41</v>
      </c>
      <c r="C9" s="1">
        <v>12</v>
      </c>
      <c r="D9" s="157" t="s">
        <v>278</v>
      </c>
      <c r="E9" s="156" t="s">
        <v>125</v>
      </c>
      <c r="F9" s="16"/>
      <c r="G9" s="8"/>
      <c r="H9" s="8"/>
      <c r="I9" s="8"/>
      <c r="J9" s="120" t="s">
        <v>277</v>
      </c>
      <c r="K9" s="119">
        <v>7.5</v>
      </c>
      <c r="L9" s="140">
        <v>7.304590513869571</v>
      </c>
      <c r="M9" s="8"/>
      <c r="N9" s="8"/>
      <c r="O9" s="7"/>
      <c r="P9" s="7" t="s">
        <v>276</v>
      </c>
      <c r="Q9" s="7"/>
      <c r="R9" s="7" t="s">
        <v>275</v>
      </c>
      <c r="S9" s="7"/>
      <c r="T9" s="7" t="s">
        <v>143</v>
      </c>
      <c r="U9" s="7" t="s">
        <v>143</v>
      </c>
      <c r="V9" s="108" t="s">
        <v>180</v>
      </c>
      <c r="W9" s="7" t="s">
        <v>180</v>
      </c>
      <c r="X9" s="7"/>
    </row>
    <row r="10" spans="1:24" ht="14.45" customHeight="1" thickBot="1">
      <c r="A10" s="96" t="s">
        <v>274</v>
      </c>
      <c r="B10" s="151" t="s">
        <v>273</v>
      </c>
      <c r="C10" s="21">
        <v>3</v>
      </c>
      <c r="D10" s="37"/>
      <c r="E10" s="155"/>
      <c r="F10" s="154" t="s">
        <v>272</v>
      </c>
      <c r="G10" s="153"/>
      <c r="H10" s="152"/>
      <c r="I10" s="8"/>
      <c r="J10" s="120" t="s">
        <v>271</v>
      </c>
      <c r="K10" s="119">
        <v>35</v>
      </c>
      <c r="L10" s="140">
        <v>35</v>
      </c>
      <c r="M10" s="8"/>
      <c r="N10" s="8"/>
      <c r="O10" s="7"/>
      <c r="P10" s="7" t="s">
        <v>270</v>
      </c>
      <c r="Q10" s="7" t="s">
        <v>269</v>
      </c>
      <c r="R10" s="7" t="s">
        <v>268</v>
      </c>
      <c r="S10" s="7"/>
      <c r="T10" s="7" t="s">
        <v>267</v>
      </c>
      <c r="U10" s="7" t="s">
        <v>267</v>
      </c>
      <c r="V10" s="108" t="s">
        <v>180</v>
      </c>
      <c r="W10" s="7" t="s">
        <v>180</v>
      </c>
      <c r="X10" s="7"/>
    </row>
    <row r="11" spans="1:24">
      <c r="A11" s="96" t="s">
        <v>266</v>
      </c>
      <c r="B11" s="151" t="s">
        <v>265</v>
      </c>
      <c r="C11" s="21">
        <v>8760</v>
      </c>
      <c r="D11" s="37"/>
      <c r="E11" s="94" t="s">
        <v>264</v>
      </c>
      <c r="F11" s="20"/>
      <c r="G11" s="16"/>
      <c r="H11" s="150"/>
      <c r="I11" s="8"/>
      <c r="J11" s="120" t="s">
        <v>263</v>
      </c>
      <c r="K11" s="119">
        <v>0.35</v>
      </c>
      <c r="L11" s="140">
        <v>0.35</v>
      </c>
      <c r="M11" s="8"/>
      <c r="N11" s="8"/>
      <c r="O11" s="7"/>
      <c r="P11" s="7" t="s">
        <v>262</v>
      </c>
      <c r="Q11" s="7" t="s">
        <v>261</v>
      </c>
      <c r="R11" s="7" t="s">
        <v>260</v>
      </c>
      <c r="S11" s="7"/>
      <c r="T11" s="7"/>
      <c r="U11" s="7"/>
      <c r="V11" s="7"/>
      <c r="W11" s="7"/>
      <c r="X11" s="7"/>
    </row>
    <row r="12" spans="1:24" ht="15" customHeight="1" thickBot="1">
      <c r="A12" s="149" t="s">
        <v>259</v>
      </c>
      <c r="B12" s="148" t="s">
        <v>180</v>
      </c>
      <c r="C12">
        <v>1</v>
      </c>
      <c r="D12" s="144">
        <f>ROUND(0.0784*$V$38^3 - 0.54*$V$38^2 + 1.2719*$V$38, 3)</f>
        <v>0.998</v>
      </c>
      <c r="E12" s="94" t="s">
        <v>192</v>
      </c>
      <c r="F12" s="147"/>
      <c r="G12" s="146"/>
      <c r="H12" s="145"/>
      <c r="I12" s="8"/>
      <c r="J12" s="120" t="s">
        <v>258</v>
      </c>
      <c r="K12" s="119">
        <v>6</v>
      </c>
      <c r="L12" s="140">
        <v>6</v>
      </c>
      <c r="M12" s="7" t="s">
        <v>257</v>
      </c>
      <c r="N12" s="7"/>
      <c r="O12" s="7"/>
      <c r="P12" s="7" t="s">
        <v>256</v>
      </c>
      <c r="Q12" s="7" t="s">
        <v>255</v>
      </c>
      <c r="R12" s="7" t="s">
        <v>254</v>
      </c>
      <c r="S12" s="7"/>
      <c r="T12" s="7"/>
      <c r="U12" s="7"/>
      <c r="V12" s="7"/>
      <c r="W12" s="7"/>
      <c r="X12" s="7"/>
    </row>
    <row r="13" spans="1:24" ht="15" customHeight="1" thickBot="1">
      <c r="A13" s="37" t="s">
        <v>253</v>
      </c>
      <c r="B13" s="37" t="s">
        <v>4</v>
      </c>
      <c r="C13"/>
      <c r="D13" s="144">
        <f>ROUND(0.0784*$V$38^3 - 0.54*$V$38^2 + 1.2719*$V$38 + 0.02, 3)</f>
        <v>1.018</v>
      </c>
      <c r="E13" s="94" t="s">
        <v>186</v>
      </c>
      <c r="F13" s="8"/>
      <c r="G13" s="8"/>
      <c r="H13" s="8"/>
      <c r="I13" s="8"/>
      <c r="J13" s="120" t="s">
        <v>252</v>
      </c>
      <c r="K13" s="119">
        <v>7</v>
      </c>
      <c r="L13" s="140">
        <v>7</v>
      </c>
      <c r="M13" s="8"/>
      <c r="N13" s="8"/>
      <c r="O13" s="7"/>
      <c r="P13" s="7" t="s">
        <v>251</v>
      </c>
      <c r="Q13" s="7" t="s">
        <v>250</v>
      </c>
      <c r="R13" s="7"/>
      <c r="S13" s="7"/>
      <c r="T13" s="7"/>
      <c r="U13" s="7"/>
      <c r="V13" s="7" t="s">
        <v>249</v>
      </c>
      <c r="W13" s="7"/>
      <c r="X13" s="7"/>
    </row>
    <row r="14" spans="1:24" ht="14.45" customHeight="1" thickBot="1">
      <c r="A14" s="143" t="s">
        <v>248</v>
      </c>
      <c r="B14" s="142" t="s">
        <v>4</v>
      </c>
      <c r="C14"/>
      <c r="D14" s="8"/>
      <c r="E14" s="8"/>
      <c r="F14" s="10" t="s">
        <v>247</v>
      </c>
      <c r="G14" s="9"/>
      <c r="H14" s="141"/>
      <c r="I14" s="8"/>
      <c r="J14" s="120" t="s">
        <v>246</v>
      </c>
      <c r="K14" s="119">
        <v>0.03</v>
      </c>
      <c r="L14" s="140">
        <v>0.03</v>
      </c>
      <c r="M14" s="8"/>
      <c r="N14" s="8"/>
      <c r="O14" s="7"/>
      <c r="P14" s="7" t="s">
        <v>245</v>
      </c>
      <c r="Q14" s="7" t="s">
        <v>244</v>
      </c>
      <c r="R14" s="7"/>
      <c r="S14" s="7"/>
      <c r="T14" s="7"/>
      <c r="U14" s="7" t="s">
        <v>33</v>
      </c>
      <c r="V14" s="7">
        <v>1000</v>
      </c>
      <c r="W14" s="7"/>
      <c r="X14" s="7"/>
    </row>
    <row r="15" spans="1:24" ht="15" customHeight="1" thickBot="1">
      <c r="A15" s="139" t="s">
        <v>243</v>
      </c>
      <c r="B15" s="138" t="s">
        <v>149</v>
      </c>
      <c r="C15" t="s">
        <v>148</v>
      </c>
      <c r="D15" s="8"/>
      <c r="E15" s="137"/>
      <c r="F15" s="136"/>
      <c r="G15" s="135" t="s">
        <v>242</v>
      </c>
      <c r="H15" s="134"/>
      <c r="I15" s="8"/>
      <c r="J15" s="133" t="s">
        <v>241</v>
      </c>
      <c r="K15" s="132">
        <v>42.419999999999995</v>
      </c>
      <c r="L15" s="131">
        <v>41.690402185953317</v>
      </c>
      <c r="M15" s="25" t="s">
        <v>240</v>
      </c>
      <c r="N15" s="8"/>
      <c r="O15" s="7"/>
      <c r="P15" s="7" t="s">
        <v>239</v>
      </c>
      <c r="Q15" s="7" t="s">
        <v>238</v>
      </c>
      <c r="R15" s="7"/>
      <c r="S15" s="7"/>
      <c r="T15" s="7"/>
      <c r="U15" s="7" t="s">
        <v>41</v>
      </c>
      <c r="V15" s="7">
        <v>3600</v>
      </c>
      <c r="W15" s="7"/>
      <c r="X15" s="7"/>
    </row>
    <row r="16" spans="1:24" ht="14.45" customHeight="1" thickBot="1">
      <c r="A16" s="96" t="s">
        <v>232</v>
      </c>
      <c r="B16" s="101" t="s">
        <v>180</v>
      </c>
      <c r="C16" s="21">
        <v>1</v>
      </c>
      <c r="D16" s="130" t="s">
        <v>237</v>
      </c>
      <c r="E16" s="65" t="s">
        <v>236</v>
      </c>
      <c r="F16" s="114" t="s">
        <v>235</v>
      </c>
      <c r="G16" s="118">
        <f>PI()/4*(CONVERT($C$17,$B$17,"m"))^2*CONVERT($C$18,$B$18,"m")*$C$19*$C$16*IF($H$16="ft3",35.3147,1)</f>
        <v>190.80459908938602</v>
      </c>
      <c r="H16" s="124" t="s">
        <v>234</v>
      </c>
      <c r="I16" s="8"/>
      <c r="J16" s="129"/>
      <c r="K16" s="128" t="s">
        <v>233</v>
      </c>
      <c r="L16" s="127"/>
      <c r="M16" s="8"/>
      <c r="N16" s="8"/>
      <c r="O16" s="7"/>
      <c r="P16" s="121"/>
      <c r="Q16" s="121"/>
      <c r="R16" s="7" t="s">
        <v>232</v>
      </c>
      <c r="S16" s="7"/>
      <c r="T16" s="7"/>
      <c r="U16" s="7" t="s">
        <v>231</v>
      </c>
      <c r="V16" s="7">
        <f>1/2.202462</f>
        <v>0.4540373454797404</v>
      </c>
      <c r="W16" s="7"/>
      <c r="X16" s="7"/>
    </row>
    <row r="17" spans="1:24" ht="15" customHeight="1" thickBot="1">
      <c r="A17" s="96" t="s">
        <v>230</v>
      </c>
      <c r="B17" s="25" t="s">
        <v>139</v>
      </c>
      <c r="C17" s="21">
        <v>1.8099999999999998</v>
      </c>
      <c r="D17" s="8"/>
      <c r="E17" s="8"/>
      <c r="F17" s="126" t="str">
        <f>IF(A9="Max. EO Production Rate","Work Rate","EO Prod. Rate")</f>
        <v>Work Rate</v>
      </c>
      <c r="G17" s="125">
        <f>IF(F17="Work Rate",$C$9*VLOOKUP(B9,U14:V19,2,FALSE)/($G$16*IF($H$16="m3",1,1/35.3147))*IF($H$17="kg/h/m3 bed",1,2.2046/35.3147),$C$9*IF($B$9="kg/h/m3 bed",1,35.3147/2.2046)*CONVERT($G$16,$H$16,"m^3")/VLOOKUP($H$17,U14:V19,2,FALSE))</f>
        <v>14.134133534335989</v>
      </c>
      <c r="H17" s="124" t="s">
        <v>33</v>
      </c>
      <c r="I17" s="8"/>
      <c r="J17" s="120" t="s">
        <v>202</v>
      </c>
      <c r="K17" s="119">
        <v>21.5</v>
      </c>
      <c r="L17" s="25" t="s">
        <v>173</v>
      </c>
      <c r="M17" s="123" t="s">
        <v>229</v>
      </c>
      <c r="N17" s="16"/>
      <c r="O17" s="122"/>
      <c r="P17" s="7" t="s">
        <v>228</v>
      </c>
      <c r="Q17" s="121"/>
      <c r="R17" s="7" t="s">
        <v>227</v>
      </c>
      <c r="S17" s="7"/>
      <c r="T17" s="7"/>
      <c r="U17" s="7" t="s">
        <v>226</v>
      </c>
      <c r="V17" s="7">
        <f>1/2.202462*1000</f>
        <v>454.0373454797404</v>
      </c>
      <c r="W17" s="7"/>
      <c r="X17" s="7"/>
    </row>
    <row r="18" spans="1:24" ht="15" customHeight="1" thickBot="1">
      <c r="A18" s="96" t="s">
        <v>225</v>
      </c>
      <c r="B18" s="25" t="s">
        <v>132</v>
      </c>
      <c r="C18">
        <v>32.299999999999997</v>
      </c>
      <c r="D18" s="8"/>
      <c r="E18" s="8"/>
      <c r="F18" s="114" t="s">
        <v>224</v>
      </c>
      <c r="G18" s="113">
        <v>55</v>
      </c>
      <c r="H18" s="112" t="s">
        <v>167</v>
      </c>
      <c r="I18" s="8"/>
      <c r="J18" s="120" t="s">
        <v>223</v>
      </c>
      <c r="K18" s="119">
        <v>222</v>
      </c>
      <c r="L18" s="69" t="s">
        <v>143</v>
      </c>
      <c r="M18" s="16"/>
      <c r="N18" s="16"/>
      <c r="O18" s="7" t="s">
        <v>222</v>
      </c>
      <c r="P18" s="7" t="s">
        <v>221</v>
      </c>
      <c r="Q18" s="7"/>
      <c r="R18" s="7" t="s">
        <v>220</v>
      </c>
      <c r="S18" s="7"/>
      <c r="T18" s="7"/>
      <c r="U18" s="7" t="s">
        <v>219</v>
      </c>
      <c r="V18" s="7">
        <f>1/24*1000</f>
        <v>41.666666666666664</v>
      </c>
      <c r="W18" s="7"/>
      <c r="X18" s="7"/>
    </row>
    <row r="19" spans="1:24" ht="15" customHeight="1" thickBot="1">
      <c r="A19" s="96" t="s">
        <v>218</v>
      </c>
      <c r="B19" s="101" t="s">
        <v>180</v>
      </c>
      <c r="C19" s="21">
        <v>11675</v>
      </c>
      <c r="D19" s="8"/>
      <c r="E19" s="8"/>
      <c r="F19" s="114" t="s">
        <v>217</v>
      </c>
      <c r="G19" s="118">
        <f>(4067.4219/(16.57649-LN(($G$18*VLOOKUP($H$18,U21:W28,2,FALSE)+VLOOKUP($H$18,U21:W28,3,FALSE))*98.0665))-240.79)*IF($H$19="deg C",1,9/5)+IF($H$19="deg C",0,32)</f>
        <v>269.87834129129794</v>
      </c>
      <c r="H19" s="112" t="s">
        <v>143</v>
      </c>
      <c r="I19" s="77" t="s">
        <v>216</v>
      </c>
      <c r="J19" s="117" t="s">
        <v>215</v>
      </c>
      <c r="K19" s="116">
        <v>238</v>
      </c>
      <c r="L19" s="115" t="s">
        <v>214</v>
      </c>
      <c r="M19" s="16"/>
      <c r="N19" s="16"/>
      <c r="O19" s="7" t="s">
        <v>213</v>
      </c>
      <c r="P19" s="7" t="s">
        <v>212</v>
      </c>
      <c r="Q19" s="7"/>
      <c r="R19" s="7" t="s">
        <v>211</v>
      </c>
      <c r="S19" s="7"/>
      <c r="T19" s="7"/>
      <c r="U19" s="7" t="s">
        <v>210</v>
      </c>
      <c r="V19" s="7">
        <f>1000*1000/$C$11</f>
        <v>114.15525114155251</v>
      </c>
      <c r="W19" s="7"/>
      <c r="X19" s="7"/>
    </row>
    <row r="20" spans="1:24" ht="15" customHeight="1" thickBot="1">
      <c r="A20" s="96" t="s">
        <v>209</v>
      </c>
      <c r="B20" s="25" t="s">
        <v>12</v>
      </c>
      <c r="C20" s="21">
        <v>14</v>
      </c>
      <c r="D20" s="8"/>
      <c r="E20" s="8"/>
      <c r="F20" s="114" t="s">
        <v>208</v>
      </c>
      <c r="G20" s="113">
        <v>60</v>
      </c>
      <c r="H20" s="112" t="s">
        <v>167</v>
      </c>
      <c r="I20" s="8"/>
      <c r="J20" s="111" t="s">
        <v>207</v>
      </c>
      <c r="K20" s="110">
        <v>10</v>
      </c>
      <c r="L20" s="109"/>
      <c r="M20" s="16"/>
      <c r="N20" s="16"/>
      <c r="O20" s="7"/>
      <c r="P20" s="7" t="s">
        <v>206</v>
      </c>
      <c r="Q20" s="7"/>
      <c r="R20" s="7" t="s">
        <v>205</v>
      </c>
      <c r="S20" s="7"/>
      <c r="T20" s="7"/>
      <c r="U20" s="7"/>
      <c r="V20" s="7" t="s">
        <v>204</v>
      </c>
      <c r="W20" s="108" t="s">
        <v>203</v>
      </c>
      <c r="X20" s="7"/>
    </row>
    <row r="21" spans="1:24" ht="15" customHeight="1" thickBot="1">
      <c r="A21" s="69" t="s">
        <v>202</v>
      </c>
      <c r="B21" s="69" t="s">
        <v>173</v>
      </c>
      <c r="C21" s="107">
        <v>21.5</v>
      </c>
      <c r="D21" s="8"/>
      <c r="E21" s="8"/>
      <c r="F21" s="106" t="s">
        <v>201</v>
      </c>
      <c r="G21" s="105">
        <f>(4067.4219/(16.57649-LN(($G$20*VLOOKUP($H$20,U21:W28,2,FALSE)+VLOOKUP($H$20,U21:W28,3,FALSE))*98.0665))-240.79)*IF($H$21="deg C",1,9/5)+IF($H$21="deg C",0,32)</f>
        <v>275.41791281742428</v>
      </c>
      <c r="H21" s="104" t="s">
        <v>143</v>
      </c>
      <c r="I21" s="8"/>
      <c r="J21" s="8"/>
      <c r="K21" s="8"/>
      <c r="L21" s="8"/>
      <c r="M21" s="16"/>
      <c r="N21" s="16"/>
      <c r="O21" s="7"/>
      <c r="P21" s="7"/>
      <c r="Q21" s="7"/>
      <c r="R21" s="7" t="s">
        <v>200</v>
      </c>
      <c r="S21" s="7"/>
      <c r="T21" s="7"/>
      <c r="U21" s="7" t="s">
        <v>12</v>
      </c>
      <c r="V21" s="7">
        <f>1/14.2233</f>
        <v>7.0307172034619253E-2</v>
      </c>
      <c r="W21" s="7">
        <v>0</v>
      </c>
      <c r="X21" s="7"/>
    </row>
    <row r="22" spans="1:24" ht="15" customHeight="1" thickBot="1">
      <c r="A22" s="96" t="s">
        <v>199</v>
      </c>
      <c r="B22" s="101" t="s">
        <v>4</v>
      </c>
      <c r="C22" s="103" t="s">
        <v>198</v>
      </c>
      <c r="D22" s="102"/>
      <c r="E22" s="94" t="s">
        <v>197</v>
      </c>
      <c r="F22" s="8"/>
      <c r="G22" s="8"/>
      <c r="H22" s="8"/>
      <c r="I22" s="8"/>
      <c r="J22" s="8"/>
      <c r="K22" s="8"/>
      <c r="L22" s="8"/>
      <c r="M22" s="8"/>
      <c r="N22" s="8"/>
      <c r="O22" s="7"/>
      <c r="P22" s="7" t="s">
        <v>196</v>
      </c>
      <c r="Q22" s="7"/>
      <c r="R22" s="7" t="s">
        <v>195</v>
      </c>
      <c r="S22" s="7"/>
      <c r="T22" s="7"/>
      <c r="U22" s="7" t="s">
        <v>194</v>
      </c>
      <c r="V22" s="7">
        <v>1.01972</v>
      </c>
      <c r="W22" s="7">
        <v>0</v>
      </c>
      <c r="X22" s="7"/>
    </row>
    <row r="23" spans="1:24" ht="15" customHeight="1" thickBot="1">
      <c r="A23" s="96" t="s">
        <v>193</v>
      </c>
      <c r="B23" s="101" t="s">
        <v>180</v>
      </c>
      <c r="C23" s="4">
        <v>0.443</v>
      </c>
      <c r="D23" s="95">
        <f>-0.05*$V$38^3+0.3337*$V$38^2-0.7491*$V$38+1</f>
        <v>0.4408765200000001</v>
      </c>
      <c r="E23" s="94" t="s">
        <v>192</v>
      </c>
      <c r="F23" s="8"/>
      <c r="G23" s="100"/>
      <c r="H23" s="8"/>
      <c r="I23" s="8"/>
      <c r="J23" s="99"/>
      <c r="K23" s="98" t="s">
        <v>191</v>
      </c>
      <c r="L23" s="98"/>
      <c r="M23" s="97"/>
      <c r="N23" s="8"/>
      <c r="O23" s="7"/>
      <c r="P23" s="7" t="s">
        <v>190</v>
      </c>
      <c r="Q23" s="7"/>
      <c r="R23" s="7" t="s">
        <v>189</v>
      </c>
      <c r="S23" s="7"/>
      <c r="T23" s="7"/>
      <c r="U23" s="7" t="s">
        <v>188</v>
      </c>
      <c r="V23" s="7">
        <v>1</v>
      </c>
      <c r="W23" s="7">
        <v>0</v>
      </c>
      <c r="X23" s="7"/>
    </row>
    <row r="24" spans="1:24" ht="14.45" customHeight="1" thickBot="1">
      <c r="A24" s="96" t="s">
        <v>187</v>
      </c>
      <c r="B24" s="69" t="s">
        <v>143</v>
      </c>
      <c r="C24" s="21">
        <v>195</v>
      </c>
      <c r="D24" s="95">
        <f>(-0.05*$V$38^3+0.3337*$V$38^2-0.7491*$V$38+1)/1.02</f>
        <v>0.4322318823529413</v>
      </c>
      <c r="E24" s="94" t="s">
        <v>186</v>
      </c>
      <c r="F24" s="8"/>
      <c r="G24" s="8"/>
      <c r="H24" s="8"/>
      <c r="I24" s="8"/>
      <c r="J24" s="93" t="s">
        <v>185</v>
      </c>
      <c r="K24" s="92">
        <v>1</v>
      </c>
      <c r="L24" s="91" t="s">
        <v>185</v>
      </c>
      <c r="M24" s="90">
        <v>1</v>
      </c>
      <c r="N24" s="89" t="s">
        <v>184</v>
      </c>
      <c r="O24" s="16"/>
      <c r="P24" s="16"/>
      <c r="Q24" s="16"/>
      <c r="R24" s="7" t="s">
        <v>183</v>
      </c>
      <c r="S24" s="7"/>
      <c r="T24" s="7"/>
      <c r="U24" s="7" t="s">
        <v>182</v>
      </c>
      <c r="V24" s="7">
        <f>1/98.0665</f>
        <v>1.0197162129779282E-2</v>
      </c>
      <c r="W24" s="7">
        <v>0</v>
      </c>
      <c r="X24" s="7"/>
    </row>
    <row r="25" spans="1:24" ht="15" customHeight="1" thickBot="1">
      <c r="A25" s="88" t="s">
        <v>181</v>
      </c>
      <c r="B25" s="87" t="s">
        <v>180</v>
      </c>
      <c r="C25" s="86">
        <v>0.44</v>
      </c>
      <c r="D25" s="8"/>
      <c r="E25" s="8"/>
      <c r="F25" s="8"/>
      <c r="G25" s="8"/>
      <c r="H25" s="8"/>
      <c r="I25" s="8"/>
      <c r="J25" s="85" t="s">
        <v>179</v>
      </c>
      <c r="K25" s="84"/>
      <c r="L25" s="83" t="s">
        <v>178</v>
      </c>
      <c r="M25" s="82"/>
      <c r="N25" s="73"/>
      <c r="O25" s="16"/>
      <c r="P25" s="16"/>
      <c r="Q25" s="16"/>
      <c r="R25" s="7" t="s">
        <v>177</v>
      </c>
      <c r="S25" s="7"/>
      <c r="T25" s="7"/>
      <c r="U25" s="7" t="s">
        <v>176</v>
      </c>
      <c r="V25" s="7">
        <v>7.0307172034619253E-2</v>
      </c>
      <c r="W25" s="7">
        <v>1.0332300000000001</v>
      </c>
      <c r="X25" s="7"/>
    </row>
    <row r="26" spans="1:24" ht="15" customHeight="1" thickBot="1">
      <c r="A26" s="8" t="s">
        <v>175</v>
      </c>
      <c r="B26" s="8" t="s">
        <v>4</v>
      </c>
      <c r="C26"/>
      <c r="D26" s="8"/>
      <c r="E26" s="8"/>
      <c r="F26" s="48"/>
      <c r="G26" s="8"/>
      <c r="H26" s="8"/>
      <c r="I26" s="8"/>
      <c r="J26" s="77" t="s">
        <v>174</v>
      </c>
      <c r="K26" s="81"/>
      <c r="L26" s="75" t="s">
        <v>174</v>
      </c>
      <c r="M26" s="80"/>
      <c r="N26" s="73"/>
      <c r="O26" s="16"/>
      <c r="P26" s="16"/>
      <c r="Q26" s="16"/>
      <c r="R26" s="7"/>
      <c r="S26" s="7"/>
      <c r="T26" s="7"/>
      <c r="U26" s="7" t="s">
        <v>173</v>
      </c>
      <c r="V26" s="7">
        <v>1.01972</v>
      </c>
      <c r="W26" s="7">
        <v>1.0332300000000001</v>
      </c>
      <c r="X26" s="7"/>
    </row>
    <row r="27" spans="1:24" ht="15" customHeight="1" thickBot="1">
      <c r="A27" s="10" t="s">
        <v>172</v>
      </c>
      <c r="B27" s="79" t="s">
        <v>171</v>
      </c>
      <c r="C27"/>
      <c r="D27" s="22" t="s">
        <v>170</v>
      </c>
      <c r="E27" s="78"/>
      <c r="F27" s="22"/>
      <c r="G27" s="8"/>
      <c r="H27" s="8"/>
      <c r="I27" s="11" t="s">
        <v>50</v>
      </c>
      <c r="J27" s="77" t="s">
        <v>169</v>
      </c>
      <c r="K27" s="76" t="s">
        <v>168</v>
      </c>
      <c r="L27" s="75" t="s">
        <v>169</v>
      </c>
      <c r="M27" s="74" t="s">
        <v>168</v>
      </c>
      <c r="N27" s="73"/>
      <c r="O27" s="16"/>
      <c r="P27" s="16"/>
      <c r="Q27" s="16"/>
      <c r="R27" s="7"/>
      <c r="S27" s="7"/>
      <c r="T27" s="7"/>
      <c r="U27" s="7" t="s">
        <v>167</v>
      </c>
      <c r="V27" s="7">
        <v>1</v>
      </c>
      <c r="W27" s="7">
        <v>1.0332300000000001</v>
      </c>
      <c r="X27" s="7"/>
    </row>
    <row r="28" spans="1:24" ht="15" customHeight="1" thickBot="1">
      <c r="A28" s="72" t="s">
        <v>166</v>
      </c>
      <c r="B28" s="69" t="s">
        <v>143</v>
      </c>
      <c r="C28" s="4">
        <v>220</v>
      </c>
      <c r="D28" s="68"/>
      <c r="E28" s="68"/>
      <c r="F28" s="8"/>
      <c r="G28" s="8"/>
      <c r="H28" s="8"/>
      <c r="I28" s="11">
        <v>1</v>
      </c>
      <c r="J28" s="67">
        <v>120</v>
      </c>
      <c r="K28" s="71">
        <v>9.0000000000000006E-5</v>
      </c>
      <c r="L28" s="57">
        <v>120</v>
      </c>
      <c r="M28" s="56">
        <v>3.2000000000000003E-4</v>
      </c>
      <c r="N28" s="8"/>
      <c r="O28" s="7" t="s">
        <v>165</v>
      </c>
      <c r="P28" s="7" t="s">
        <v>164</v>
      </c>
      <c r="Q28" s="7" t="s">
        <v>163</v>
      </c>
      <c r="R28" s="7" t="s">
        <v>162</v>
      </c>
      <c r="S28" s="7" t="s">
        <v>161</v>
      </c>
      <c r="T28" s="7"/>
      <c r="U28" s="7" t="s">
        <v>160</v>
      </c>
      <c r="V28" s="7">
        <v>1.019716212977928E-2</v>
      </c>
      <c r="W28" s="7">
        <v>1.0332300000000001</v>
      </c>
      <c r="X28" s="7"/>
    </row>
    <row r="29" spans="1:24" ht="15" customHeight="1" thickBot="1">
      <c r="A29" s="70" t="s">
        <v>159</v>
      </c>
      <c r="B29" s="69" t="s">
        <v>143</v>
      </c>
      <c r="C29" s="21">
        <v>275</v>
      </c>
      <c r="D29" s="68"/>
      <c r="E29" s="8"/>
      <c r="F29" s="8"/>
      <c r="G29" s="8"/>
      <c r="H29" s="8"/>
      <c r="I29" s="11">
        <v>2</v>
      </c>
      <c r="J29" s="67">
        <v>500</v>
      </c>
      <c r="K29" s="58">
        <v>6.0000000000000002E-5</v>
      </c>
      <c r="L29" s="57">
        <v>500</v>
      </c>
      <c r="M29" s="56">
        <v>1.2E-4</v>
      </c>
      <c r="N29" s="8"/>
      <c r="O29" s="7" t="s">
        <v>158</v>
      </c>
      <c r="P29" s="7" t="s">
        <v>157</v>
      </c>
      <c r="Q29" s="7"/>
      <c r="R29" s="7" t="s">
        <v>156</v>
      </c>
      <c r="S29" s="7" t="s">
        <v>155</v>
      </c>
      <c r="T29" s="7"/>
      <c r="U29" s="7"/>
      <c r="V29" s="7"/>
      <c r="W29" s="7"/>
      <c r="X29" s="7"/>
    </row>
    <row r="30" spans="1:24">
      <c r="A30" s="66" t="s">
        <v>154</v>
      </c>
      <c r="B30" s="65" t="s">
        <v>4</v>
      </c>
      <c r="C30"/>
      <c r="D30" s="64" t="s">
        <v>153</v>
      </c>
      <c r="E30" s="16"/>
      <c r="F30" s="16"/>
      <c r="G30" s="16"/>
      <c r="H30" s="8"/>
      <c r="I30" s="11">
        <v>3</v>
      </c>
      <c r="J30" s="59">
        <v>999999</v>
      </c>
      <c r="K30" s="58">
        <v>3.4999999999999997E-5</v>
      </c>
      <c r="L30" s="57">
        <v>9999</v>
      </c>
      <c r="M30" s="56">
        <v>1E-4</v>
      </c>
      <c r="N30" s="8"/>
      <c r="O30" s="7" t="s">
        <v>152</v>
      </c>
      <c r="P30" s="7" t="s">
        <v>151</v>
      </c>
      <c r="Q30" s="7"/>
      <c r="R30" s="7"/>
      <c r="S30" s="7"/>
      <c r="T30" s="7"/>
      <c r="U30" s="7"/>
      <c r="V30" s="7"/>
      <c r="W30" s="7"/>
      <c r="X30" s="7"/>
    </row>
    <row r="31" spans="1:24" ht="15" customHeight="1" thickBot="1">
      <c r="A31" s="63" t="s">
        <v>150</v>
      </c>
      <c r="B31" s="62" t="s">
        <v>149</v>
      </c>
      <c r="C31" t="s">
        <v>148</v>
      </c>
      <c r="D31" s="20"/>
      <c r="E31" s="16"/>
      <c r="F31" s="16"/>
      <c r="G31" s="16"/>
      <c r="H31" s="8"/>
      <c r="I31" s="11">
        <v>4</v>
      </c>
      <c r="J31" s="59">
        <v>0</v>
      </c>
      <c r="K31" s="58">
        <v>0</v>
      </c>
      <c r="L31" s="57">
        <v>0</v>
      </c>
      <c r="M31" s="56">
        <v>0</v>
      </c>
      <c r="N31" s="8"/>
      <c r="O31" s="7" t="s">
        <v>147</v>
      </c>
      <c r="P31" s="7" t="s">
        <v>146</v>
      </c>
      <c r="Q31" s="7"/>
      <c r="R31" s="7"/>
      <c r="S31" s="7"/>
      <c r="T31" s="7"/>
      <c r="U31" s="7"/>
      <c r="V31" s="7" t="s">
        <v>145</v>
      </c>
      <c r="W31" s="7"/>
      <c r="X31" s="7"/>
    </row>
    <row r="32" spans="1:24" ht="15" customHeight="1" thickBot="1">
      <c r="A32" s="61" t="s">
        <v>144</v>
      </c>
      <c r="B32" s="60" t="s">
        <v>143</v>
      </c>
      <c r="C32"/>
      <c r="D32" s="20"/>
      <c r="E32" s="16"/>
      <c r="F32" s="16"/>
      <c r="G32" s="16"/>
      <c r="H32" s="8"/>
      <c r="I32" s="11">
        <v>5</v>
      </c>
      <c r="J32" s="59">
        <v>0</v>
      </c>
      <c r="K32" s="58">
        <v>0</v>
      </c>
      <c r="L32" s="57">
        <v>0</v>
      </c>
      <c r="M32" s="56">
        <v>0</v>
      </c>
      <c r="N32" s="8"/>
      <c r="O32" s="7" t="s">
        <v>142</v>
      </c>
      <c r="P32" s="7" t="s">
        <v>141</v>
      </c>
      <c r="Q32" s="7"/>
      <c r="R32" s="7" t="s">
        <v>140</v>
      </c>
      <c r="S32" s="7"/>
      <c r="T32" s="7"/>
      <c r="U32" s="7" t="s">
        <v>139</v>
      </c>
      <c r="V32" s="7">
        <v>1</v>
      </c>
      <c r="W32" s="7"/>
      <c r="X32" s="7"/>
    </row>
    <row r="33" spans="1:24" ht="15" customHeight="1" thickBot="1">
      <c r="A33" s="55" t="s">
        <v>138</v>
      </c>
      <c r="B33" s="54" t="s">
        <v>41</v>
      </c>
      <c r="C33"/>
      <c r="D33" s="20"/>
      <c r="E33" s="16"/>
      <c r="F33" s="16"/>
      <c r="G33" s="16"/>
      <c r="H33" s="8"/>
      <c r="I33" s="11">
        <v>6</v>
      </c>
      <c r="J33" s="53">
        <v>0</v>
      </c>
      <c r="K33" s="52">
        <v>0</v>
      </c>
      <c r="L33" s="51">
        <v>0</v>
      </c>
      <c r="M33" s="50">
        <v>0</v>
      </c>
      <c r="N33" s="8"/>
      <c r="O33" s="7" t="s">
        <v>137</v>
      </c>
      <c r="P33" s="7" t="s">
        <v>136</v>
      </c>
      <c r="Q33" s="7"/>
      <c r="R33" s="7" t="s">
        <v>135</v>
      </c>
      <c r="S33" s="7"/>
      <c r="T33" s="7"/>
      <c r="U33" s="7" t="s">
        <v>134</v>
      </c>
      <c r="V33" s="7">
        <f>1/25.4</f>
        <v>3.937007874015748E-2</v>
      </c>
      <c r="W33" s="7"/>
      <c r="X33" s="7"/>
    </row>
    <row r="34" spans="1:24">
      <c r="A34" s="49" t="s">
        <v>133</v>
      </c>
      <c r="B34" s="48" t="s">
        <v>4</v>
      </c>
      <c r="C34"/>
      <c r="D34" s="8"/>
      <c r="E34" s="8"/>
      <c r="F34" s="8"/>
      <c r="G34" s="8"/>
      <c r="H34" s="8"/>
      <c r="I34" s="8"/>
      <c r="J34" s="34" t="s">
        <v>59</v>
      </c>
      <c r="K34" s="8"/>
      <c r="L34" s="34" t="s">
        <v>59</v>
      </c>
      <c r="M34" s="8"/>
      <c r="N34" s="8"/>
      <c r="O34" s="7"/>
      <c r="P34" s="7"/>
      <c r="Q34" s="7"/>
      <c r="R34" s="7"/>
      <c r="S34" s="7"/>
      <c r="T34" s="7"/>
      <c r="U34" s="7" t="s">
        <v>132</v>
      </c>
      <c r="V34" s="7">
        <f>1/12</f>
        <v>8.3333333333333329E-2</v>
      </c>
      <c r="W34" s="7"/>
      <c r="X34" s="7"/>
    </row>
    <row r="35" spans="1:24" ht="15" customHeight="1" thickBot="1">
      <c r="A35" s="37" t="s">
        <v>131</v>
      </c>
      <c r="B35" s="37" t="s">
        <v>4</v>
      </c>
      <c r="C35"/>
      <c r="D35" s="34"/>
      <c r="E35" s="8"/>
      <c r="F35" s="8"/>
      <c r="G35" s="8"/>
      <c r="H35" s="8"/>
      <c r="I35" s="8"/>
      <c r="J35" s="8"/>
      <c r="K35" s="8"/>
      <c r="L35" s="8"/>
      <c r="M35" s="8"/>
      <c r="N35" s="8"/>
      <c r="O35" s="7" t="s">
        <v>130</v>
      </c>
      <c r="P35" s="7" t="s">
        <v>129</v>
      </c>
      <c r="Q35" s="7"/>
      <c r="R35" s="7"/>
      <c r="S35" s="7"/>
      <c r="T35" s="7"/>
      <c r="U35" s="7" t="s">
        <v>128</v>
      </c>
      <c r="V35" s="7">
        <v>39.370078999999997</v>
      </c>
      <c r="W35" s="7"/>
      <c r="X35" s="7"/>
    </row>
    <row r="36" spans="1:24" ht="15" customHeight="1" thickBot="1">
      <c r="A36" s="43" t="s">
        <v>127</v>
      </c>
      <c r="B36" s="25" t="s">
        <v>126</v>
      </c>
      <c r="C36"/>
      <c r="D36" s="47" t="s">
        <v>125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7" t="s">
        <v>124</v>
      </c>
      <c r="P36" s="7" t="s">
        <v>123</v>
      </c>
      <c r="Q36" s="7" t="s">
        <v>122</v>
      </c>
      <c r="R36" s="7"/>
      <c r="S36" s="7"/>
      <c r="T36" s="7"/>
      <c r="U36" s="7"/>
      <c r="V36" s="7"/>
      <c r="W36" s="7"/>
      <c r="X36" s="7"/>
    </row>
    <row r="37" spans="1:24" ht="15" customHeight="1" thickBot="1">
      <c r="A37" s="41" t="s">
        <v>121</v>
      </c>
      <c r="B37" s="40" t="s">
        <v>120</v>
      </c>
      <c r="C37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7" t="s">
        <v>119</v>
      </c>
      <c r="P37" s="7" t="s">
        <v>118</v>
      </c>
      <c r="Q37" s="7"/>
      <c r="R37" s="7" t="s">
        <v>117</v>
      </c>
      <c r="S37" s="7"/>
      <c r="T37" s="7"/>
      <c r="U37" s="7" t="s">
        <v>116</v>
      </c>
      <c r="V37" s="7">
        <f>VLOOKUP($B$17,U32:V35,2)*$C$17</f>
        <v>1.8099999999999998</v>
      </c>
      <c r="W37" s="7"/>
      <c r="X37" s="7"/>
    </row>
    <row r="38" spans="1:24" ht="15" customHeight="1" thickBot="1">
      <c r="A38" s="41" t="s">
        <v>115</v>
      </c>
      <c r="B38" s="40" t="s">
        <v>114</v>
      </c>
      <c r="C38" s="42">
        <v>0.78720000000000001</v>
      </c>
      <c r="D38" s="1" t="s">
        <v>113</v>
      </c>
      <c r="G38" s="8"/>
      <c r="H38" s="8"/>
      <c r="I38" s="8"/>
      <c r="J38" s="46" t="s">
        <v>112</v>
      </c>
      <c r="K38" s="44" t="s">
        <v>111</v>
      </c>
      <c r="L38" s="8"/>
      <c r="M38" s="8"/>
      <c r="N38" s="8"/>
      <c r="O38" s="7" t="s">
        <v>110</v>
      </c>
      <c r="P38" s="7" t="s">
        <v>109</v>
      </c>
      <c r="Q38" s="7"/>
      <c r="R38" s="7" t="s">
        <v>108</v>
      </c>
      <c r="S38" s="7"/>
      <c r="T38" s="7"/>
      <c r="U38" s="7"/>
      <c r="V38" s="7">
        <f>VLOOKUP($B$17,U32:V35,2)*$C$17</f>
        <v>1.8099999999999998</v>
      </c>
      <c r="W38" s="7"/>
      <c r="X38" s="7"/>
    </row>
    <row r="39" spans="1:24" ht="15" customHeight="1" thickBot="1">
      <c r="A39" s="41" t="s">
        <v>107</v>
      </c>
      <c r="B39" t="s">
        <v>71</v>
      </c>
      <c r="C39" s="42">
        <v>-0.34310000000000002</v>
      </c>
      <c r="D39" s="8"/>
      <c r="E39" s="8"/>
      <c r="F39" s="8"/>
      <c r="G39" s="8"/>
      <c r="H39" s="8"/>
      <c r="I39" s="11" t="s">
        <v>50</v>
      </c>
      <c r="J39" s="45" t="s">
        <v>106</v>
      </c>
      <c r="K39" s="44" t="s">
        <v>33</v>
      </c>
      <c r="L39" s="8"/>
      <c r="M39" s="8"/>
      <c r="N39" s="8"/>
      <c r="O39" s="7" t="s">
        <v>105</v>
      </c>
      <c r="P39" s="7" t="s">
        <v>104</v>
      </c>
      <c r="Q39" s="7"/>
      <c r="R39" s="7" t="s">
        <v>103</v>
      </c>
      <c r="S39" s="7"/>
      <c r="T39" s="7"/>
      <c r="U39" s="7"/>
      <c r="V39" s="7"/>
      <c r="W39" s="7"/>
      <c r="X39" s="7"/>
    </row>
    <row r="40" spans="1:24">
      <c r="A40" s="41" t="s">
        <v>102</v>
      </c>
      <c r="B40" s="40" t="s">
        <v>71</v>
      </c>
      <c r="C40"/>
      <c r="D40" s="8"/>
      <c r="E40" s="8"/>
      <c r="F40" s="8"/>
      <c r="G40" s="8"/>
      <c r="H40" s="8"/>
      <c r="I40" s="11">
        <v>1</v>
      </c>
      <c r="J40"/>
      <c r="K40"/>
      <c r="L40" s="7" t="s">
        <v>101</v>
      </c>
      <c r="M40" s="7" t="s">
        <v>100</v>
      </c>
      <c r="N40" s="8"/>
      <c r="O40" s="7" t="s">
        <v>99</v>
      </c>
      <c r="P40" s="7" t="s">
        <v>98</v>
      </c>
      <c r="Q40" s="7"/>
      <c r="R40" s="7" t="s">
        <v>97</v>
      </c>
      <c r="S40" s="7"/>
      <c r="T40" s="7"/>
      <c r="U40" s="7"/>
      <c r="V40" s="7"/>
      <c r="W40" s="7"/>
      <c r="X40" s="7"/>
    </row>
    <row r="41" spans="1:24" ht="15" customHeight="1" thickBot="1">
      <c r="A41" s="39" t="s">
        <v>96</v>
      </c>
      <c r="B41" s="38" t="s">
        <v>71</v>
      </c>
      <c r="C41"/>
      <c r="D41" s="8"/>
      <c r="E41" s="8"/>
      <c r="F41" s="8"/>
      <c r="G41" s="8"/>
      <c r="H41" s="8"/>
      <c r="I41" s="11">
        <v>2</v>
      </c>
      <c r="J41"/>
      <c r="K41"/>
      <c r="L41" s="7" t="s">
        <v>95</v>
      </c>
      <c r="M41" s="7" t="s">
        <v>94</v>
      </c>
      <c r="N41" s="8"/>
      <c r="O41" s="7"/>
      <c r="P41" s="7"/>
      <c r="Q41" s="7"/>
      <c r="R41" s="7" t="s">
        <v>93</v>
      </c>
      <c r="S41" s="7"/>
      <c r="T41" s="7"/>
      <c r="U41" s="7"/>
      <c r="V41" s="7"/>
      <c r="W41" s="7"/>
      <c r="X41" s="7"/>
    </row>
    <row r="42" spans="1:24" ht="15" customHeight="1" thickBot="1">
      <c r="A42" s="37" t="s">
        <v>92</v>
      </c>
      <c r="B42" s="37" t="s">
        <v>4</v>
      </c>
      <c r="C42"/>
      <c r="D42" s="8"/>
      <c r="E42" s="8"/>
      <c r="F42" s="8"/>
      <c r="G42" s="8"/>
      <c r="H42" s="8"/>
      <c r="I42" s="11">
        <v>3</v>
      </c>
      <c r="J42"/>
      <c r="K42"/>
      <c r="L42" s="7" t="s">
        <v>91</v>
      </c>
      <c r="M42" s="7" t="s">
        <v>90</v>
      </c>
      <c r="N42" s="8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thickBot="1">
      <c r="A43" s="43" t="s">
        <v>89</v>
      </c>
      <c r="B43" s="25" t="s">
        <v>88</v>
      </c>
      <c r="C43"/>
      <c r="D43" s="8"/>
      <c r="E43" s="8"/>
      <c r="F43" s="31"/>
      <c r="G43" s="31"/>
      <c r="H43" s="8"/>
      <c r="I43" s="11">
        <v>4</v>
      </c>
      <c r="J43"/>
      <c r="K43"/>
      <c r="L43" s="7" t="s">
        <v>87</v>
      </c>
      <c r="M43" s="7" t="s">
        <v>86</v>
      </c>
      <c r="N43" s="8"/>
      <c r="O43" s="7"/>
      <c r="P43" s="7"/>
      <c r="Q43" s="7" t="s">
        <v>85</v>
      </c>
      <c r="R43" s="7"/>
      <c r="S43" s="7"/>
      <c r="T43" s="7"/>
      <c r="U43" s="7"/>
      <c r="V43" s="7"/>
      <c r="W43" s="7"/>
      <c r="X43" s="7"/>
    </row>
    <row r="44" spans="1:24" ht="15" customHeight="1">
      <c r="A44" s="41" t="s">
        <v>84</v>
      </c>
      <c r="B44" s="40" t="s">
        <v>71</v>
      </c>
      <c r="C44" s="42">
        <v>0.5</v>
      </c>
      <c r="D44" s="8"/>
      <c r="E44" s="8"/>
      <c r="F44" s="31"/>
      <c r="G44" s="31"/>
      <c r="H44" s="8"/>
      <c r="I44" s="11">
        <v>5</v>
      </c>
      <c r="J44"/>
      <c r="K44"/>
      <c r="L44" s="7" t="s">
        <v>83</v>
      </c>
      <c r="M44" s="7" t="s">
        <v>82</v>
      </c>
      <c r="N44" s="8"/>
      <c r="O44" s="7"/>
      <c r="P44" s="7"/>
      <c r="Q44" s="7"/>
      <c r="R44" s="7" t="s">
        <v>81</v>
      </c>
      <c r="S44" s="7"/>
      <c r="T44" s="7"/>
      <c r="U44" s="7"/>
      <c r="V44" s="7"/>
      <c r="W44" s="7"/>
      <c r="X44" s="7"/>
    </row>
    <row r="45" spans="1:24" ht="15" customHeight="1">
      <c r="A45" s="41" t="s">
        <v>80</v>
      </c>
      <c r="B45" s="40" t="s">
        <v>71</v>
      </c>
      <c r="C45"/>
      <c r="D45" s="8"/>
      <c r="E45" s="31"/>
      <c r="F45" s="31"/>
      <c r="G45" s="31"/>
      <c r="H45" s="8"/>
      <c r="I45" s="11">
        <v>6</v>
      </c>
      <c r="J45"/>
      <c r="K45"/>
      <c r="L45" s="7" t="s">
        <v>79</v>
      </c>
      <c r="M45" s="7" t="s">
        <v>78</v>
      </c>
      <c r="N45" s="8"/>
      <c r="O45" s="7"/>
      <c r="P45" s="7"/>
      <c r="Q45" s="7"/>
      <c r="R45" s="7" t="s">
        <v>77</v>
      </c>
      <c r="S45" s="7"/>
      <c r="T45" s="7"/>
      <c r="U45" s="7"/>
      <c r="V45" s="7"/>
      <c r="W45" s="7"/>
      <c r="X45" s="7"/>
    </row>
    <row r="46" spans="1:24" ht="14.45" customHeight="1">
      <c r="A46" s="41" t="s">
        <v>76</v>
      </c>
      <c r="B46" s="40" t="s">
        <v>71</v>
      </c>
      <c r="C46"/>
      <c r="D46" s="8"/>
      <c r="E46" s="31"/>
      <c r="F46" s="31"/>
      <c r="G46" s="31"/>
      <c r="H46" s="8"/>
      <c r="I46" s="11">
        <v>7</v>
      </c>
      <c r="J46"/>
      <c r="K46"/>
      <c r="L46" s="7" t="s">
        <v>75</v>
      </c>
      <c r="M46" s="7" t="s">
        <v>74</v>
      </c>
      <c r="N46" s="8"/>
      <c r="O46" s="7"/>
      <c r="P46" s="7"/>
      <c r="Q46" s="7"/>
      <c r="R46" s="7" t="s">
        <v>73</v>
      </c>
      <c r="S46" s="7"/>
      <c r="T46" s="7"/>
      <c r="U46" s="7"/>
      <c r="V46" s="7"/>
      <c r="W46" s="7"/>
      <c r="X46" s="7"/>
    </row>
    <row r="47" spans="1:24" ht="15" customHeight="1" thickBot="1">
      <c r="A47" s="39" t="s">
        <v>72</v>
      </c>
      <c r="B47" s="38" t="s">
        <v>71</v>
      </c>
      <c r="C47"/>
      <c r="D47" s="8"/>
      <c r="E47" s="31"/>
      <c r="F47" s="8"/>
      <c r="G47" s="8"/>
      <c r="H47" s="8"/>
      <c r="I47" s="11">
        <v>8</v>
      </c>
      <c r="J47"/>
      <c r="K47"/>
      <c r="L47" s="7" t="s">
        <v>70</v>
      </c>
      <c r="M47" s="7" t="s">
        <v>69</v>
      </c>
      <c r="N47" s="8"/>
      <c r="O47" s="7"/>
      <c r="P47" s="7"/>
      <c r="Q47" s="7"/>
      <c r="R47" s="7" t="s">
        <v>68</v>
      </c>
      <c r="S47" s="7"/>
      <c r="T47" s="7"/>
      <c r="U47" s="7"/>
      <c r="V47" s="7"/>
      <c r="W47" s="7"/>
      <c r="X47" s="7"/>
    </row>
    <row r="48" spans="1:24" ht="15" customHeight="1" thickBot="1">
      <c r="A48" s="37" t="s">
        <v>67</v>
      </c>
      <c r="B48" s="37" t="s">
        <v>4</v>
      </c>
      <c r="C48"/>
      <c r="D48" s="8"/>
      <c r="E48" s="31"/>
      <c r="F48" s="8"/>
      <c r="G48" s="8"/>
      <c r="H48" s="8"/>
      <c r="I48" s="11">
        <v>9</v>
      </c>
      <c r="J48"/>
      <c r="K48"/>
      <c r="L48" s="7" t="s">
        <v>66</v>
      </c>
      <c r="M48" s="7" t="s">
        <v>65</v>
      </c>
      <c r="N48" s="8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5" customHeight="1" thickBot="1">
      <c r="A49" s="15" t="s">
        <v>64</v>
      </c>
      <c r="B49" s="36" t="s">
        <v>46</v>
      </c>
      <c r="C49"/>
      <c r="D49" s="35" t="s">
        <v>45</v>
      </c>
      <c r="E49" s="16"/>
      <c r="F49" s="16"/>
      <c r="G49" s="16"/>
      <c r="H49" s="8"/>
      <c r="I49" s="11">
        <v>10</v>
      </c>
      <c r="J49"/>
      <c r="K49"/>
      <c r="L49" s="7" t="s">
        <v>63</v>
      </c>
      <c r="M49" s="7" t="s">
        <v>62</v>
      </c>
      <c r="N49" s="8"/>
      <c r="O49" s="7"/>
      <c r="P49" s="7"/>
      <c r="Q49" s="7" t="s">
        <v>61</v>
      </c>
      <c r="R49" s="7"/>
      <c r="S49" s="7"/>
      <c r="T49" s="7"/>
      <c r="U49" s="7"/>
      <c r="V49" s="7"/>
      <c r="W49" s="7"/>
      <c r="X49" s="7"/>
    </row>
    <row r="50" spans="1:24" ht="15" customHeight="1" thickBot="1">
      <c r="A50" s="23" t="s">
        <v>58</v>
      </c>
      <c r="B50" s="25" t="s">
        <v>41</v>
      </c>
      <c r="C50" s="21">
        <v>11.2</v>
      </c>
      <c r="D50" s="24" t="s">
        <v>60</v>
      </c>
      <c r="E50" s="16"/>
      <c r="F50" s="16"/>
      <c r="G50" s="16"/>
      <c r="H50" s="8"/>
      <c r="I50" s="8"/>
      <c r="J50" s="34" t="s">
        <v>59</v>
      </c>
      <c r="K50" s="8"/>
      <c r="L50" s="8"/>
      <c r="M50" s="8"/>
      <c r="N50" s="8"/>
      <c r="O50" s="7"/>
      <c r="P50" s="7"/>
      <c r="Q50" s="7"/>
      <c r="R50" s="7" t="s">
        <v>58</v>
      </c>
      <c r="S50" s="7"/>
      <c r="T50" s="7"/>
      <c r="U50" s="7"/>
      <c r="V50" s="7"/>
      <c r="W50" s="7"/>
      <c r="X50" s="7"/>
    </row>
    <row r="51" spans="1:24" ht="15" customHeight="1" thickBot="1">
      <c r="A51" s="23" t="s">
        <v>57</v>
      </c>
      <c r="B51" s="25" t="s">
        <v>41</v>
      </c>
      <c r="C51"/>
      <c r="D51" s="20"/>
      <c r="E51" s="16"/>
      <c r="F51" s="16"/>
      <c r="G51" s="16"/>
      <c r="H51" s="8"/>
      <c r="I51" s="8"/>
      <c r="J51" s="8"/>
      <c r="K51" s="8"/>
      <c r="L51" s="8"/>
      <c r="M51" s="8"/>
      <c r="N51" s="8"/>
      <c r="O51" s="7"/>
      <c r="P51" s="7"/>
      <c r="Q51" s="7"/>
      <c r="R51" s="7" t="s">
        <v>57</v>
      </c>
      <c r="S51" s="7"/>
      <c r="T51" s="7"/>
      <c r="U51" s="7"/>
      <c r="V51" s="7"/>
      <c r="W51" s="7"/>
      <c r="X51" s="7"/>
    </row>
    <row r="52" spans="1:24" ht="15" customHeight="1" thickBot="1">
      <c r="A52" s="23" t="s">
        <v>56</v>
      </c>
      <c r="B52" s="22" t="s">
        <v>28</v>
      </c>
      <c r="C52" s="21">
        <v>100</v>
      </c>
      <c r="D52" s="24" t="s">
        <v>55</v>
      </c>
      <c r="E52" s="16"/>
      <c r="F52" s="16"/>
      <c r="G52" s="16"/>
      <c r="H52" s="8"/>
      <c r="I52" s="8"/>
      <c r="J52" s="8"/>
      <c r="K52" s="8"/>
      <c r="L52" s="8"/>
      <c r="M52" s="8"/>
      <c r="N52" s="8"/>
      <c r="O52" s="7"/>
      <c r="P52" s="7"/>
      <c r="Q52" s="7"/>
      <c r="R52" s="7" t="s">
        <v>54</v>
      </c>
      <c r="S52" s="7"/>
      <c r="T52" s="7"/>
      <c r="U52" s="7"/>
      <c r="V52" s="7"/>
      <c r="W52" s="7"/>
      <c r="X52" s="7"/>
    </row>
    <row r="53" spans="1:24" ht="15" customHeight="1" thickBot="1">
      <c r="A53" s="19" t="s">
        <v>52</v>
      </c>
      <c r="B53" s="18" t="s">
        <v>24</v>
      </c>
      <c r="C53"/>
      <c r="D53" s="20"/>
      <c r="E53" s="16"/>
      <c r="F53" s="16"/>
      <c r="G53" s="16"/>
      <c r="H53" s="8"/>
      <c r="I53" s="8"/>
      <c r="J53" s="33" t="s">
        <v>53</v>
      </c>
      <c r="K53" s="32"/>
      <c r="L53" s="8"/>
      <c r="M53" s="8"/>
      <c r="N53" s="8"/>
      <c r="O53" s="7"/>
      <c r="P53" s="7"/>
      <c r="Q53" s="7"/>
      <c r="R53" s="7" t="s">
        <v>52</v>
      </c>
      <c r="S53" s="7"/>
      <c r="T53" s="7"/>
      <c r="U53" s="7"/>
      <c r="V53" s="7"/>
      <c r="W53" s="7"/>
      <c r="X53" s="7"/>
    </row>
    <row r="54" spans="1:24" ht="15" customHeight="1" thickBot="1">
      <c r="A54" s="8" t="s">
        <v>51</v>
      </c>
      <c r="B54" s="8" t="s">
        <v>4</v>
      </c>
      <c r="C54"/>
      <c r="D54" s="8"/>
      <c r="E54" s="31"/>
      <c r="F54" s="8"/>
      <c r="G54" s="8"/>
      <c r="H54" s="8"/>
      <c r="I54" s="11" t="s">
        <v>50</v>
      </c>
      <c r="J54" s="30" t="s">
        <v>49</v>
      </c>
      <c r="K54" s="29" t="s">
        <v>48</v>
      </c>
      <c r="L54" s="8"/>
      <c r="M54" s="8"/>
      <c r="N54" s="8"/>
      <c r="O54" s="7"/>
      <c r="P54" s="7"/>
      <c r="Q54" s="7"/>
      <c r="R54" s="7"/>
      <c r="S54" s="7"/>
      <c r="T54" s="7"/>
      <c r="U54" s="7"/>
      <c r="V54" s="7"/>
      <c r="W54" s="7"/>
      <c r="X54" s="7"/>
    </row>
    <row r="55" spans="1:24" ht="15" customHeight="1" thickBot="1">
      <c r="A55" s="10" t="s">
        <v>47</v>
      </c>
      <c r="B55" s="28" t="s">
        <v>46</v>
      </c>
      <c r="C55"/>
      <c r="D55" s="27" t="s">
        <v>45</v>
      </c>
      <c r="E55" s="26"/>
      <c r="F55" s="8"/>
      <c r="G55" s="8"/>
      <c r="H55" s="8"/>
      <c r="I55" s="11">
        <v>1</v>
      </c>
      <c r="J55"/>
      <c r="K55"/>
      <c r="L55" s="7" t="s">
        <v>44</v>
      </c>
      <c r="M55" s="7" t="s">
        <v>43</v>
      </c>
      <c r="N55" s="8"/>
      <c r="O55" s="7"/>
      <c r="P55" s="7"/>
      <c r="Q55" s="7" t="s">
        <v>42</v>
      </c>
      <c r="R55" s="7"/>
      <c r="S55" s="7"/>
      <c r="T55" s="7"/>
      <c r="U55" s="7"/>
      <c r="V55" s="7"/>
      <c r="W55" s="7"/>
      <c r="X55" s="7"/>
    </row>
    <row r="56" spans="1:24" ht="15" customHeight="1" thickBot="1">
      <c r="A56" s="23" t="s">
        <v>37</v>
      </c>
      <c r="B56" s="25" t="s">
        <v>41</v>
      </c>
      <c r="C56"/>
      <c r="D56" s="24" t="s">
        <v>40</v>
      </c>
      <c r="E56" s="16"/>
      <c r="F56" s="16"/>
      <c r="G56" s="16"/>
      <c r="H56" s="8"/>
      <c r="I56" s="11">
        <v>2</v>
      </c>
      <c r="J56"/>
      <c r="K56"/>
      <c r="L56" s="7" t="s">
        <v>39</v>
      </c>
      <c r="M56" s="7" t="s">
        <v>38</v>
      </c>
      <c r="N56" s="8"/>
      <c r="O56" s="8"/>
      <c r="P56" s="8"/>
      <c r="Q56" s="8"/>
      <c r="R56" s="7" t="s">
        <v>37</v>
      </c>
      <c r="S56" s="7"/>
      <c r="T56" s="7"/>
      <c r="U56" s="7"/>
      <c r="V56" s="7"/>
      <c r="W56" s="7"/>
      <c r="X56" s="7"/>
    </row>
    <row r="57" spans="1:24" ht="15" customHeight="1" thickBot="1">
      <c r="A57" s="23" t="s">
        <v>34</v>
      </c>
      <c r="B57" s="25" t="s">
        <v>33</v>
      </c>
      <c r="C57"/>
      <c r="D57" s="20"/>
      <c r="E57" s="16"/>
      <c r="F57" s="16"/>
      <c r="G57" s="16"/>
      <c r="H57" s="8"/>
      <c r="I57" s="11">
        <v>3</v>
      </c>
      <c r="J57"/>
      <c r="K57"/>
      <c r="L57" s="7" t="s">
        <v>36</v>
      </c>
      <c r="M57" s="7" t="s">
        <v>35</v>
      </c>
      <c r="N57" s="8"/>
      <c r="O57" s="8"/>
      <c r="P57" s="8"/>
      <c r="Q57" s="8"/>
      <c r="R57" s="7" t="s">
        <v>34</v>
      </c>
      <c r="S57" s="7"/>
      <c r="T57" s="7"/>
      <c r="U57" s="7"/>
      <c r="V57" s="7"/>
      <c r="W57" s="7"/>
      <c r="X57" s="7"/>
    </row>
    <row r="58" spans="1:24" ht="15" customHeight="1" thickBot="1">
      <c r="A58" s="23" t="s">
        <v>29</v>
      </c>
      <c r="B58" s="25" t="s">
        <v>33</v>
      </c>
      <c r="C58"/>
      <c r="D58" s="24" t="s">
        <v>32</v>
      </c>
      <c r="E58" s="16"/>
      <c r="F58" s="16"/>
      <c r="G58" s="16"/>
      <c r="H58" s="8"/>
      <c r="I58" s="11">
        <v>4</v>
      </c>
      <c r="J58"/>
      <c r="K58"/>
      <c r="L58" s="7" t="s">
        <v>31</v>
      </c>
      <c r="M58" s="7" t="s">
        <v>30</v>
      </c>
      <c r="N58" s="8"/>
      <c r="O58" s="8"/>
      <c r="P58" s="8"/>
      <c r="Q58" s="8"/>
      <c r="R58" s="7" t="s">
        <v>29</v>
      </c>
      <c r="S58" s="7"/>
      <c r="T58" s="7"/>
      <c r="U58" s="7"/>
      <c r="V58" s="7"/>
      <c r="W58" s="7"/>
      <c r="X58" s="7"/>
    </row>
    <row r="59" spans="1:24">
      <c r="A59" s="23" t="s">
        <v>25</v>
      </c>
      <c r="B59" s="22" t="s">
        <v>28</v>
      </c>
      <c r="C59" s="21">
        <v>100</v>
      </c>
      <c r="D59" s="20"/>
      <c r="E59" s="16"/>
      <c r="F59" s="16"/>
      <c r="G59" s="16"/>
      <c r="H59" s="8"/>
      <c r="I59" s="11">
        <v>5</v>
      </c>
      <c r="J59"/>
      <c r="K59"/>
      <c r="L59" s="7" t="s">
        <v>27</v>
      </c>
      <c r="M59" s="7" t="s">
        <v>26</v>
      </c>
      <c r="N59" s="8"/>
      <c r="O59" s="8"/>
      <c r="P59" s="8"/>
      <c r="Q59" s="8"/>
      <c r="R59" s="7" t="s">
        <v>25</v>
      </c>
      <c r="S59" s="7"/>
      <c r="T59" s="7"/>
      <c r="U59" s="7"/>
      <c r="V59" s="7"/>
      <c r="W59" s="7"/>
      <c r="X59" s="7"/>
    </row>
    <row r="60" spans="1:24" ht="15" customHeight="1" thickBot="1">
      <c r="A60" s="19" t="s">
        <v>20</v>
      </c>
      <c r="B60" s="18" t="s">
        <v>24</v>
      </c>
      <c r="C60"/>
      <c r="D60" s="17" t="s">
        <v>23</v>
      </c>
      <c r="E60" s="16"/>
      <c r="F60" s="16"/>
      <c r="G60" s="16"/>
      <c r="H60" s="8"/>
      <c r="I60" s="11">
        <v>6</v>
      </c>
      <c r="J60"/>
      <c r="K60"/>
      <c r="L60" s="7" t="s">
        <v>22</v>
      </c>
      <c r="M60" s="7" t="s">
        <v>21</v>
      </c>
      <c r="N60" s="8"/>
      <c r="O60" s="8"/>
      <c r="P60" s="8"/>
      <c r="Q60" s="8"/>
      <c r="R60" s="7" t="s">
        <v>20</v>
      </c>
      <c r="S60" s="7"/>
      <c r="T60" s="7"/>
      <c r="U60" s="7"/>
      <c r="V60" s="7"/>
      <c r="W60" s="7"/>
      <c r="X60" s="7"/>
    </row>
    <row r="61" spans="1:24" ht="15" customHeight="1" thickBot="1">
      <c r="A61" s="8" t="s">
        <v>19</v>
      </c>
      <c r="B61" s="8" t="s">
        <v>4</v>
      </c>
      <c r="C61"/>
      <c r="D61" s="8"/>
      <c r="E61" s="8"/>
      <c r="F61" s="8"/>
      <c r="G61" s="8"/>
      <c r="H61" s="8"/>
      <c r="I61" s="11">
        <v>7</v>
      </c>
      <c r="J61"/>
      <c r="K61"/>
      <c r="L61" s="7" t="s">
        <v>18</v>
      </c>
      <c r="M61" s="7" t="s">
        <v>17</v>
      </c>
      <c r="N61" s="8"/>
      <c r="O61" s="8"/>
      <c r="P61" s="8"/>
      <c r="Q61" s="8"/>
      <c r="R61" s="7"/>
      <c r="S61" s="7"/>
      <c r="T61" s="7"/>
      <c r="U61" s="7"/>
      <c r="V61" s="7"/>
      <c r="W61" s="7"/>
      <c r="X61" s="7"/>
    </row>
    <row r="62" spans="1:24" ht="15" customHeight="1" thickBot="1">
      <c r="A62" s="15" t="s">
        <v>16</v>
      </c>
      <c r="B62" s="14" t="s">
        <v>4</v>
      </c>
      <c r="C62"/>
      <c r="D62" s="8"/>
      <c r="E62" s="8"/>
      <c r="F62" s="8"/>
      <c r="G62" s="8"/>
      <c r="H62" s="8"/>
      <c r="I62" s="11">
        <v>8</v>
      </c>
      <c r="J62"/>
      <c r="K62"/>
      <c r="L62" s="7" t="s">
        <v>15</v>
      </c>
      <c r="M62" s="7" t="s">
        <v>14</v>
      </c>
      <c r="N62" s="8"/>
      <c r="O62" s="8"/>
      <c r="P62" s="8"/>
      <c r="Q62" s="8"/>
      <c r="R62" s="7"/>
      <c r="S62" s="7"/>
      <c r="T62" s="7"/>
      <c r="U62" s="7"/>
      <c r="V62" s="7"/>
      <c r="W62" s="7"/>
      <c r="X62" s="7"/>
    </row>
    <row r="63" spans="1:24" ht="15" customHeight="1" thickBot="1">
      <c r="A63" s="13" t="s">
        <v>13</v>
      </c>
      <c r="B63" s="12" t="s">
        <v>12</v>
      </c>
      <c r="C63"/>
      <c r="D63" s="8"/>
      <c r="E63" s="8"/>
      <c r="F63" s="8"/>
      <c r="G63" s="8"/>
      <c r="H63" s="8"/>
      <c r="I63" s="11">
        <v>9</v>
      </c>
      <c r="J63"/>
      <c r="K63"/>
      <c r="L63" s="7" t="s">
        <v>11</v>
      </c>
      <c r="M63" s="7" t="s">
        <v>10</v>
      </c>
      <c r="N63" s="8"/>
      <c r="O63" s="8"/>
      <c r="P63" s="8"/>
      <c r="Q63" s="8"/>
      <c r="R63" s="7" t="s">
        <v>9</v>
      </c>
      <c r="S63" s="7"/>
      <c r="T63" s="7"/>
      <c r="U63" s="7"/>
      <c r="V63" s="7"/>
      <c r="W63" s="7"/>
      <c r="X63" s="7"/>
    </row>
    <row r="64" spans="1:24" ht="15" customHeight="1" thickBot="1">
      <c r="A64" s="8" t="s">
        <v>8</v>
      </c>
      <c r="B64" s="8" t="s">
        <v>4</v>
      </c>
      <c r="C64"/>
      <c r="D64" s="8"/>
      <c r="E64" s="8"/>
      <c r="F64" s="8"/>
      <c r="G64" s="8"/>
      <c r="H64" s="8"/>
      <c r="I64" s="11">
        <v>10</v>
      </c>
      <c r="J64"/>
      <c r="K64"/>
      <c r="L64" s="7" t="s">
        <v>7</v>
      </c>
      <c r="M64" s="7" t="s">
        <v>6</v>
      </c>
      <c r="N64" s="8"/>
      <c r="O64" s="8"/>
      <c r="P64" s="8"/>
      <c r="Q64" s="8"/>
      <c r="R64" s="7"/>
      <c r="S64" s="7"/>
      <c r="T64" s="7"/>
      <c r="U64" s="7"/>
      <c r="V64" s="7"/>
      <c r="W64" s="7"/>
      <c r="X64" s="7"/>
    </row>
    <row r="65" spans="1:24">
      <c r="A65" s="10" t="s">
        <v>5</v>
      </c>
      <c r="B65" s="9" t="s">
        <v>4</v>
      </c>
      <c r="C65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7"/>
      <c r="S65" s="7"/>
      <c r="T65" s="7"/>
      <c r="U65" s="7"/>
      <c r="V65" s="7"/>
      <c r="W65" s="7"/>
      <c r="X65" s="7"/>
    </row>
    <row r="66" spans="1:24" ht="15" customHeight="1" thickBot="1">
      <c r="A66" s="6" t="s">
        <v>3</v>
      </c>
      <c r="B66" s="5" t="s">
        <v>2</v>
      </c>
      <c r="C66" s="4">
        <v>1</v>
      </c>
    </row>
    <row r="67" spans="1:24" ht="15" customHeight="1" thickBot="1">
      <c r="A67" s="3" t="s">
        <v>1</v>
      </c>
      <c r="B67" s="2" t="s">
        <v>0</v>
      </c>
      <c r="C67"/>
    </row>
  </sheetData>
  <mergeCells count="12">
    <mergeCell ref="E9:F9"/>
    <mergeCell ref="M17:N21"/>
    <mergeCell ref="D58:G59"/>
    <mergeCell ref="D50:G51"/>
    <mergeCell ref="N24:Q27"/>
    <mergeCell ref="D60:G60"/>
    <mergeCell ref="D52:G53"/>
    <mergeCell ref="D56:G57"/>
    <mergeCell ref="C22:D22"/>
    <mergeCell ref="D49:G49"/>
    <mergeCell ref="F10:H12"/>
    <mergeCell ref="D30:G33"/>
  </mergeCells>
  <conditionalFormatting sqref="C44">
    <cfRule type="expression" dxfId="124" priority="111">
      <formula>B43="LOV"</formula>
    </cfRule>
  </conditionalFormatting>
  <conditionalFormatting sqref="C45">
    <cfRule type="expression" dxfId="123" priority="110">
      <formula>B43="Fixed Value"</formula>
    </cfRule>
  </conditionalFormatting>
  <conditionalFormatting sqref="C46:C47">
    <cfRule type="expression" dxfId="122" priority="109">
      <formula>$B$43="BOL &amp; EOL"</formula>
    </cfRule>
  </conditionalFormatting>
  <conditionalFormatting sqref="C37">
    <cfRule type="expression" dxfId="121" priority="108">
      <formula>B36="Removal Efficiency"</formula>
    </cfRule>
  </conditionalFormatting>
  <conditionalFormatting sqref="C38:C39">
    <cfRule type="expression" dxfId="120" priority="107">
      <formula>$B$36="Slope-Intercept"</formula>
    </cfRule>
  </conditionalFormatting>
  <conditionalFormatting sqref="C40:C41">
    <cfRule type="expression" dxfId="119" priority="106">
      <formula>$B$36="BOL &amp; EOL"</formula>
    </cfRule>
  </conditionalFormatting>
  <conditionalFormatting sqref="A9:C9">
    <cfRule type="expression" dxfId="118" priority="96">
      <formula>$D$9="YES"</formula>
    </cfRule>
    <cfRule type="expression" dxfId="117" priority="105">
      <formula>$D$9="NO"</formula>
    </cfRule>
  </conditionalFormatting>
  <conditionalFormatting sqref="K20">
    <cfRule type="expression" dxfId="116" priority="104">
      <formula>$J$19="Target ΔEO [%] at time below"</formula>
    </cfRule>
  </conditionalFormatting>
  <conditionalFormatting sqref="A38:C39">
    <cfRule type="expression" dxfId="115" priority="103">
      <formula>$B$36&lt;&gt;"Slope-Intercept"</formula>
    </cfRule>
  </conditionalFormatting>
  <conditionalFormatting sqref="A40:C41">
    <cfRule type="expression" dxfId="114" priority="102">
      <formula>$B$36&lt;&gt;"BOL &amp; EOL"</formula>
    </cfRule>
  </conditionalFormatting>
  <conditionalFormatting sqref="A37:C37">
    <cfRule type="expression" dxfId="113" priority="101">
      <formula>$B$36&lt;&gt;"Removal Efficiency"</formula>
    </cfRule>
  </conditionalFormatting>
  <conditionalFormatting sqref="D36">
    <cfRule type="expression" dxfId="112" priority="75">
      <formula>$B$36&lt;&gt;"Selectivity Table"</formula>
    </cfRule>
    <cfRule type="expression" dxfId="111" priority="100">
      <formula>B36&lt;&gt;"Selectivity Table"</formula>
    </cfRule>
  </conditionalFormatting>
  <conditionalFormatting sqref="A44:C44">
    <cfRule type="expression" dxfId="110" priority="99">
      <formula>$B$43&lt;&gt;"LOV"</formula>
    </cfRule>
  </conditionalFormatting>
  <conditionalFormatting sqref="A45:C45">
    <cfRule type="expression" dxfId="109" priority="98">
      <formula>$B$43&lt;&gt;"Fixed Value"</formula>
    </cfRule>
  </conditionalFormatting>
  <conditionalFormatting sqref="A46:C47">
    <cfRule type="expression" dxfId="108" priority="97">
      <formula>$B$43&lt;&gt;"BOL &amp; EOL"</formula>
    </cfRule>
  </conditionalFormatting>
  <conditionalFormatting sqref="J20:K20">
    <cfRule type="expression" dxfId="107" priority="95">
      <formula>$J$19&lt;&gt;"Target ΔEO [%] at time below"</formula>
    </cfRule>
  </conditionalFormatting>
  <conditionalFormatting sqref="D38:F38">
    <cfRule type="expression" dxfId="106" priority="94">
      <formula>$B$36&lt;&gt;"Slope-Intercept"</formula>
    </cfRule>
  </conditionalFormatting>
  <conditionalFormatting sqref="E9">
    <cfRule type="expression" dxfId="105" priority="112">
      <formula>$D$9="NO"</formula>
    </cfRule>
  </conditionalFormatting>
  <conditionalFormatting sqref="C4">
    <cfRule type="expression" dxfId="104" priority="93">
      <formula>$B$4="NO"</formula>
    </cfRule>
  </conditionalFormatting>
  <conditionalFormatting sqref="C3">
    <cfRule type="expression" dxfId="103" priority="92">
      <formula>$B$3="NO"</formula>
    </cfRule>
  </conditionalFormatting>
  <conditionalFormatting sqref="C5">
    <cfRule type="expression" dxfId="102" priority="91">
      <formula>$B$5="NO"</formula>
    </cfRule>
  </conditionalFormatting>
  <conditionalFormatting sqref="B63:C63">
    <cfRule type="expression" dxfId="101" priority="31">
      <formula>$B$5="YES"</formula>
    </cfRule>
    <cfRule type="expression" dxfId="100" priority="90">
      <formula>$B$5="YES"</formula>
    </cfRule>
  </conditionalFormatting>
  <conditionalFormatting sqref="A49:C53">
    <cfRule type="expression" dxfId="99" priority="89">
      <formula>$B$3="NO"</formula>
    </cfRule>
  </conditionalFormatting>
  <conditionalFormatting sqref="A62:C63">
    <cfRule type="expression" dxfId="98" priority="88">
      <formula>$B$5="NO"</formula>
    </cfRule>
  </conditionalFormatting>
  <conditionalFormatting sqref="A9:B9">
    <cfRule type="expression" dxfId="97" priority="87">
      <formula>$D$9="YES"</formula>
    </cfRule>
  </conditionalFormatting>
  <conditionalFormatting sqref="A37:B37">
    <cfRule type="expression" dxfId="96" priority="86">
      <formula>$B$36="Removal Efficiency"</formula>
    </cfRule>
  </conditionalFormatting>
  <conditionalFormatting sqref="A38:B39">
    <cfRule type="expression" dxfId="95" priority="85">
      <formula>$B$36="Slope-Intercept"</formula>
    </cfRule>
  </conditionalFormatting>
  <conditionalFormatting sqref="A40:B41">
    <cfRule type="expression" dxfId="94" priority="84">
      <formula>$B$36="BOL &amp; EOL"</formula>
    </cfRule>
  </conditionalFormatting>
  <conditionalFormatting sqref="A44:B44">
    <cfRule type="expression" dxfId="93" priority="83">
      <formula>$B$43="LOV"</formula>
    </cfRule>
  </conditionalFormatting>
  <conditionalFormatting sqref="A45:B45">
    <cfRule type="expression" dxfId="92" priority="82">
      <formula>$B$43="Fixed Value"</formula>
    </cfRule>
  </conditionalFormatting>
  <conditionalFormatting sqref="A46:B47">
    <cfRule type="expression" dxfId="91" priority="81">
      <formula>$B$43="BOL &amp; EOL"</formula>
    </cfRule>
  </conditionalFormatting>
  <conditionalFormatting sqref="A63">
    <cfRule type="expression" dxfId="90" priority="32">
      <formula>$B$5="YES"</formula>
    </cfRule>
    <cfRule type="expression" dxfId="89" priority="80">
      <formula>$B$5="YES"</formula>
    </cfRule>
  </conditionalFormatting>
  <conditionalFormatting sqref="J20">
    <cfRule type="expression" dxfId="88" priority="79">
      <formula>$J$19="Target ΔEO [%] at time below"</formula>
    </cfRule>
  </conditionalFormatting>
  <conditionalFormatting sqref="A49">
    <cfRule type="expression" dxfId="87" priority="49">
      <formula>$B$3="YES"</formula>
    </cfRule>
    <cfRule type="expression" dxfId="86" priority="78">
      <formula>$B$3="YES"</formula>
    </cfRule>
  </conditionalFormatting>
  <conditionalFormatting sqref="A62:C62">
    <cfRule type="expression" dxfId="85" priority="33">
      <formula>$B$5="YES"</formula>
    </cfRule>
    <cfRule type="expression" dxfId="84" priority="77">
      <formula>$B$5="YES"</formula>
    </cfRule>
  </conditionalFormatting>
  <conditionalFormatting sqref="D36 J54:K54">
    <cfRule type="expression" dxfId="83" priority="76">
      <formula>$B$36="Selectivity Table"</formula>
    </cfRule>
  </conditionalFormatting>
  <conditionalFormatting sqref="A50:C50">
    <cfRule type="expression" dxfId="82" priority="74">
      <formula>$B$49&lt;&gt;"Net Consumption"</formula>
    </cfRule>
  </conditionalFormatting>
  <conditionalFormatting sqref="B50">
    <cfRule type="expression" dxfId="81" priority="73">
      <formula>$B$49&lt;&gt;"Net Consumption"</formula>
    </cfRule>
  </conditionalFormatting>
  <conditionalFormatting sqref="A51:C53">
    <cfRule type="expression" dxfId="80" priority="72">
      <formula>$B$49&lt;&gt;"Usage"</formula>
    </cfRule>
  </conditionalFormatting>
  <conditionalFormatting sqref="B51">
    <cfRule type="expression" dxfId="79" priority="71">
      <formula>$B$49&lt;&gt;"Usage"</formula>
    </cfRule>
  </conditionalFormatting>
  <conditionalFormatting sqref="D49:D50 D52 E44 F42:G42">
    <cfRule type="expression" dxfId="78" priority="70">
      <formula>$B$3="NO"</formula>
    </cfRule>
  </conditionalFormatting>
  <conditionalFormatting sqref="J40:K49 K38:K39">
    <cfRule type="expression" dxfId="77" priority="113">
      <formula>$D$9="YES"</formula>
    </cfRule>
  </conditionalFormatting>
  <conditionalFormatting sqref="I39:K50 J38:K38">
    <cfRule type="expression" dxfId="76" priority="114">
      <formula>$D$9="NO"</formula>
    </cfRule>
  </conditionalFormatting>
  <conditionalFormatting sqref="J39">
    <cfRule type="expression" dxfId="75" priority="115">
      <formula>$D$9="YES"</formula>
    </cfRule>
  </conditionalFormatting>
  <conditionalFormatting sqref="J38">
    <cfRule type="expression" dxfId="74" priority="116">
      <formula>$D$9="YES"</formula>
    </cfRule>
  </conditionalFormatting>
  <conditionalFormatting sqref="A55:C60">
    <cfRule type="expression" dxfId="73" priority="69">
      <formula>$B$4="NO"</formula>
    </cfRule>
  </conditionalFormatting>
  <conditionalFormatting sqref="A56:C56">
    <cfRule type="expression" dxfId="72" priority="68">
      <formula>$B$55&lt;&gt;"Net Consumption"</formula>
    </cfRule>
  </conditionalFormatting>
  <conditionalFormatting sqref="A57:C57">
    <cfRule type="expression" dxfId="71" priority="67">
      <formula>$B$55&lt;&gt;"Usage"</formula>
    </cfRule>
  </conditionalFormatting>
  <conditionalFormatting sqref="A58:C58">
    <cfRule type="expression" dxfId="70" priority="66">
      <formula>$B$55&lt;&gt;"Constant"</formula>
    </cfRule>
  </conditionalFormatting>
  <conditionalFormatting sqref="B56">
    <cfRule type="expression" dxfId="69" priority="65">
      <formula>$B$55&lt;&gt;"Net Consumption"</formula>
    </cfRule>
  </conditionalFormatting>
  <conditionalFormatting sqref="B57">
    <cfRule type="expression" dxfId="68" priority="64">
      <formula>$B$55&lt;&gt;"Usage"</formula>
    </cfRule>
  </conditionalFormatting>
  <conditionalFormatting sqref="B58">
    <cfRule type="expression" dxfId="67" priority="63">
      <formula>$B$55&lt;&gt;"Constant"</formula>
    </cfRule>
  </conditionalFormatting>
  <conditionalFormatting sqref="A59:C60">
    <cfRule type="expression" dxfId="66" priority="62">
      <formula>$B$55="Net Consumption"</formula>
    </cfRule>
  </conditionalFormatting>
  <conditionalFormatting sqref="D55:D56 D58 D60 E54:E55 F48:G48">
    <cfRule type="expression" dxfId="65" priority="61">
      <formula>$B$4="NO"</formula>
    </cfRule>
  </conditionalFormatting>
  <conditionalFormatting sqref="L28:M33 M24">
    <cfRule type="expression" dxfId="64" priority="117">
      <formula>$C$22="constant speed (GHSV varies)"</formula>
    </cfRule>
  </conditionalFormatting>
  <conditionalFormatting sqref="L24:M33 L34">
    <cfRule type="expression" dxfId="63" priority="118">
      <formula>$C$22="variable speed (GHSV=constant)"</formula>
    </cfRule>
  </conditionalFormatting>
  <conditionalFormatting sqref="L25:M25">
    <cfRule type="expression" dxfId="62" priority="119">
      <formula>$C$22="constant speed (GHSV varies)"</formula>
    </cfRule>
  </conditionalFormatting>
  <conditionalFormatting sqref="L24 L26:M27">
    <cfRule type="expression" dxfId="61" priority="120">
      <formula>$C$22="constant speed (GHSV varies)"</formula>
    </cfRule>
  </conditionalFormatting>
  <conditionalFormatting sqref="B25">
    <cfRule type="expression" dxfId="60" priority="121">
      <formula>$A$25="ΔIGT / ΔTST"</formula>
    </cfRule>
    <cfRule type="expression" dxfId="59" priority="122">
      <formula>A25="End of run inlet gas T"</formula>
    </cfRule>
  </conditionalFormatting>
  <conditionalFormatting sqref="J55:K64">
    <cfRule type="expression" dxfId="58" priority="123">
      <formula>$B$36="Selectivity Table"</formula>
    </cfRule>
  </conditionalFormatting>
  <conditionalFormatting sqref="I53:K64">
    <cfRule type="expression" dxfId="57" priority="124">
      <formula>$B$36&lt;&gt;"Selectivity Table"</formula>
    </cfRule>
  </conditionalFormatting>
  <conditionalFormatting sqref="J53:K53">
    <cfRule type="expression" dxfId="56" priority="125">
      <formula>$B$36="Selectivity Table"</formula>
    </cfRule>
  </conditionalFormatting>
  <conditionalFormatting sqref="A30:C33">
    <cfRule type="expression" dxfId="55" priority="60">
      <formula>$B$27&lt;&gt;"Outlet Gas Temp"</formula>
    </cfRule>
  </conditionalFormatting>
  <conditionalFormatting sqref="A32:B33">
    <cfRule type="expression" dxfId="54" priority="27">
      <formula>$B$27&lt;&gt;"Outlet Gas Temp"</formula>
    </cfRule>
  </conditionalFormatting>
  <conditionalFormatting sqref="B2">
    <cfRule type="expression" dxfId="53" priority="23">
      <formula>ISNUMBER(SEARCH($R$2,$F$2))</formula>
    </cfRule>
  </conditionalFormatting>
  <conditionalFormatting sqref="B3">
    <cfRule type="expression" dxfId="52" priority="24">
      <formula>ISNUMBER(SEARCH($R$3,$F$2))</formula>
    </cfRule>
    <cfRule type="expression" dxfId="51" priority="26">
      <formula>ISNUMBER(SEARCH($S$3,$F$2))</formula>
    </cfRule>
  </conditionalFormatting>
  <conditionalFormatting sqref="B4">
    <cfRule type="expression" dxfId="50" priority="20">
      <formula>ISNUMBER(SEARCH($R$4,$F$2))</formula>
    </cfRule>
    <cfRule type="expression" dxfId="49" priority="21">
      <formula>ISNUMBER(SEARCH($S$4,$F$2))</formula>
    </cfRule>
    <cfRule type="expression" dxfId="48" priority="22">
      <formula>ISNUMBER(SEARCH($Q$4,$F$2))</formula>
    </cfRule>
  </conditionalFormatting>
  <conditionalFormatting sqref="B5">
    <cfRule type="expression" dxfId="47" priority="17">
      <formula>ISNUMBER(SEARCH($R$5,$F$2))</formula>
    </cfRule>
  </conditionalFormatting>
  <conditionalFormatting sqref="C16:C21 C23:C25 C28:C29 C32:C33 C37:C41 C44:C47 C50:C53 C56:C60 C63">
    <cfRule type="expression" dxfId="46" priority="3">
      <formula>ISNUMBER(SEARCH(R16,$F$2))</formula>
    </cfRule>
  </conditionalFormatting>
  <conditionalFormatting sqref="C22:D22">
    <cfRule type="expression" dxfId="45" priority="19">
      <formula>ISNUMBER(SEARCH($R$22,$F$2))</formula>
    </cfRule>
  </conditionalFormatting>
  <conditionalFormatting sqref="C28:C29">
    <cfRule type="expression" dxfId="44" priority="18">
      <formula>ISNUMBER(SEARCH(S28,$F$2))</formula>
    </cfRule>
  </conditionalFormatting>
  <conditionalFormatting sqref="B27">
    <cfRule type="expression" dxfId="43" priority="15">
      <formula>ISNUMBER(SEARCH($Q$28,$F$2))</formula>
    </cfRule>
  </conditionalFormatting>
  <conditionalFormatting sqref="B36 B43 B49 B55">
    <cfRule type="expression" dxfId="42" priority="16">
      <formula>ISNUMBER(SEARCH(Q36,$F$2))</formula>
    </cfRule>
  </conditionalFormatting>
  <conditionalFormatting sqref="K24">
    <cfRule type="expression" dxfId="41" priority="14">
      <formula>ISNUMBER(SEARCH($P$23,$F$2))</formula>
    </cfRule>
  </conditionalFormatting>
  <conditionalFormatting sqref="M24">
    <cfRule type="expression" dxfId="40" priority="13">
      <formula>ISNUMBER(SEARCH($P$22,$F$2))</formula>
    </cfRule>
  </conditionalFormatting>
  <conditionalFormatting sqref="K7:K11 K13:K15 K17:K20 L7 L10:L11 L13:L14">
    <cfRule type="expression" dxfId="39" priority="11">
      <formula>ISNUMBER(SEARCH(P7,$F$2))</formula>
    </cfRule>
  </conditionalFormatting>
  <conditionalFormatting sqref="K19">
    <cfRule type="expression" dxfId="38" priority="12">
      <formula>ISNUMBER(SEARCH($O$19,$F$2))</formula>
    </cfRule>
  </conditionalFormatting>
  <conditionalFormatting sqref="D9">
    <cfRule type="expression" dxfId="37" priority="8">
      <formula>ISNUMBER(SEARCH($P$6,$F$2))</formula>
    </cfRule>
  </conditionalFormatting>
  <conditionalFormatting sqref="J40:K49 J55:K64">
    <cfRule type="expression" dxfId="36" priority="10">
      <formula>ISNUMBER(SEARCH(L40,$F$2))</formula>
    </cfRule>
  </conditionalFormatting>
  <conditionalFormatting sqref="J28:K33">
    <cfRule type="expression" dxfId="35" priority="25">
      <formula>ISNUMBER(SEARCH(O28,$F$2))</formula>
    </cfRule>
  </conditionalFormatting>
  <conditionalFormatting sqref="L28:M33">
    <cfRule type="expression" dxfId="34" priority="7">
      <formula>ISNUMBER(SEARCH(O35,$F$2))</formula>
    </cfRule>
  </conditionalFormatting>
  <conditionalFormatting sqref="D30:G33">
    <cfRule type="expression" dxfId="33" priority="58">
      <formula>$B$27&lt;&gt;"Outlet Gas Temp"</formula>
    </cfRule>
  </conditionalFormatting>
  <conditionalFormatting sqref="C9:C12">
    <cfRule type="expression" dxfId="32" priority="4">
      <formula>ISNUMBER(SEARCH(R9,$F$2))</formula>
    </cfRule>
  </conditionalFormatting>
  <conditionalFormatting sqref="L19">
    <cfRule type="expression" dxfId="31" priority="5">
      <formula>ISNUMBER(SEARCH($O$18,$F$2))</formula>
    </cfRule>
    <cfRule type="expression" dxfId="30" priority="30">
      <formula>$J$19&lt;&gt;"Target ΔEO [%] at time below"</formula>
    </cfRule>
    <cfRule type="expression" dxfId="29" priority="57">
      <formula>$J$19="Target ΔEO [%] at time below"</formula>
    </cfRule>
  </conditionalFormatting>
  <conditionalFormatting sqref="M17:N21">
    <cfRule type="expression" dxfId="28" priority="56">
      <formula>$J$19="Target ΔEO [%] at time below"</formula>
    </cfRule>
  </conditionalFormatting>
  <conditionalFormatting sqref="K12:L12">
    <cfRule type="expression" dxfId="27" priority="6">
      <formula>ISNUMBER(SEARCH(P12,$F$2))</formula>
    </cfRule>
    <cfRule type="expression" dxfId="26" priority="55">
      <formula>$M$15="N2 ballast"</formula>
    </cfRule>
  </conditionalFormatting>
  <conditionalFormatting sqref="M12:N12">
    <cfRule type="expression" dxfId="25" priority="54">
      <formula>$M$15="N2 ballast"</formula>
    </cfRule>
  </conditionalFormatting>
  <conditionalFormatting sqref="M15">
    <cfRule type="expression" dxfId="24" priority="9">
      <formula>ISNUMBER(SEARCH($Q$15,$F$2))</formula>
    </cfRule>
  </conditionalFormatting>
  <conditionalFormatting sqref="A6:C6 A13:C13 A26:C26 A34:C35 A42:C42 A48:C48 A54:C54 A61:C61">
    <cfRule type="expression" dxfId="23" priority="53">
      <formula>1=1</formula>
    </cfRule>
  </conditionalFormatting>
  <conditionalFormatting sqref="A1:C1 A7:C8 A14:C15 A27 A36 A43">
    <cfRule type="expression" dxfId="22" priority="52">
      <formula>1=1</formula>
    </cfRule>
  </conditionalFormatting>
  <conditionalFormatting sqref="A2:A5 A10:B12 A16:A20 A22:A24 A28:A29 B16 B19 B22:B23 C27 C36 C43">
    <cfRule type="expression" dxfId="21" priority="51">
      <formula>1=1</formula>
    </cfRule>
  </conditionalFormatting>
  <conditionalFormatting sqref="A25 B2:B5 B17:B18 B20:B21 B24 B27:B29 B36 B43 C10:C12 C16:C25 C28:C29 D9 J19 L17:L18 M15">
    <cfRule type="expression" dxfId="20" priority="50">
      <formula>1=1</formula>
    </cfRule>
  </conditionalFormatting>
  <conditionalFormatting sqref="B49">
    <cfRule type="expression" dxfId="19" priority="48">
      <formula>$B$3="YES"</formula>
    </cfRule>
  </conditionalFormatting>
  <conditionalFormatting sqref="A51:A53 B52:B53">
    <cfRule type="expression" dxfId="18" priority="47">
      <formula>AND($B$3="YES",$B$49="Usage")</formula>
    </cfRule>
  </conditionalFormatting>
  <conditionalFormatting sqref="B51:C51 C52:C53">
    <cfRule type="expression" dxfId="17" priority="46">
      <formula>AND($B$3="YES",$B$49="Usage")</formula>
    </cfRule>
  </conditionalFormatting>
  <conditionalFormatting sqref="A50">
    <cfRule type="expression" dxfId="16" priority="45">
      <formula>AND($B$3="YES",$B$49="Net Consumption")</formula>
    </cfRule>
  </conditionalFormatting>
  <conditionalFormatting sqref="B50:C50">
    <cfRule type="expression" dxfId="15" priority="44">
      <formula>AND($B$3="YES",$B$49="Net Consumption")</formula>
    </cfRule>
  </conditionalFormatting>
  <conditionalFormatting sqref="A55">
    <cfRule type="expression" dxfId="14" priority="43">
      <formula>$B$4="YES"</formula>
    </cfRule>
  </conditionalFormatting>
  <conditionalFormatting sqref="B55">
    <cfRule type="expression" dxfId="13" priority="42">
      <formula>$B$4="YES"</formula>
    </cfRule>
  </conditionalFormatting>
  <conditionalFormatting sqref="A56">
    <cfRule type="expression" dxfId="12" priority="41">
      <formula>AND($B$4="YES",$B$55="Net Consumption")</formula>
    </cfRule>
  </conditionalFormatting>
  <conditionalFormatting sqref="B56:C56">
    <cfRule type="expression" dxfId="11" priority="40">
      <formula>AND($B$4="YES",$B$55="Net Consumption")</formula>
    </cfRule>
  </conditionalFormatting>
  <conditionalFormatting sqref="A57">
    <cfRule type="expression" dxfId="10" priority="39">
      <formula>AND($B$4="YES",$B$55="Usage")</formula>
    </cfRule>
  </conditionalFormatting>
  <conditionalFormatting sqref="B57:C57">
    <cfRule type="expression" dxfId="9" priority="38">
      <formula>AND($B$4="YES",$B$55="Usage")</formula>
    </cfRule>
  </conditionalFormatting>
  <conditionalFormatting sqref="A58">
    <cfRule type="expression" dxfId="8" priority="37">
      <formula>AND($B$4="YES",$B$55="Constant")</formula>
    </cfRule>
  </conditionalFormatting>
  <conditionalFormatting sqref="B58:C58">
    <cfRule type="expression" dxfId="7" priority="36">
      <formula>AND($B$4="YES",$B$55="Constant")</formula>
    </cfRule>
  </conditionalFormatting>
  <conditionalFormatting sqref="A59:B60">
    <cfRule type="expression" dxfId="6" priority="35">
      <formula>AND($B$4="YES",OR($B$55="Usage",$B$55="Constant"))</formula>
    </cfRule>
  </conditionalFormatting>
  <conditionalFormatting sqref="C59:C60">
    <cfRule type="expression" dxfId="5" priority="34">
      <formula>AND($B$4="YES",OR($B$55="Usage",$B$55="Constant"))</formula>
    </cfRule>
  </conditionalFormatting>
  <conditionalFormatting sqref="K38:K39">
    <cfRule type="expression" dxfId="4" priority="28">
      <formula>$D$9="YES"</formula>
    </cfRule>
  </conditionalFormatting>
  <conditionalFormatting sqref="A30:C31 A32:A33">
    <cfRule type="expression" dxfId="3" priority="29">
      <formula>$B$27="Outlet Gas Temp"</formula>
    </cfRule>
  </conditionalFormatting>
  <conditionalFormatting sqref="B32:C33">
    <cfRule type="expression" dxfId="2" priority="59">
      <formula>$B$27="Outlet Gas Temp"</formula>
    </cfRule>
  </conditionalFormatting>
  <conditionalFormatting sqref="D2">
    <cfRule type="expression" dxfId="1" priority="2">
      <formula>1=1</formula>
    </cfRule>
  </conditionalFormatting>
  <conditionalFormatting sqref="A21">
    <cfRule type="expression" dxfId="0" priority="1">
      <formula>1=1</formula>
    </cfRule>
  </conditionalFormatting>
  <dataValidations count="4">
    <dataValidation type="list" allowBlank="1" showInputMessage="1" showErrorMessage="1" sqref="H18 H20" xr:uid="{00000000-0002-0000-0300-000003000000}">
      <formula1>"psia,bar,kg/cm2,kPa,psig,barg,kg/cm2g,kPag"</formula1>
    </dataValidation>
    <dataValidation type="list" allowBlank="1" showInputMessage="1" showErrorMessage="1" sqref="H19 H21" xr:uid="{00000000-0002-0000-0300-000002000000}">
      <formula1>"deg C,deg F"</formula1>
    </dataValidation>
    <dataValidation type="list" allowBlank="1" showInputMessage="1" showErrorMessage="1" sqref="H16" xr:uid="{00000000-0002-0000-0300-000001000000}">
      <formula1>"m3,ft3"</formula1>
    </dataValidation>
    <dataValidation type="list" allowBlank="1" showInputMessage="1" showErrorMessage="1" sqref="H17" xr:uid="{00000000-0002-0000-0300-000000000000}">
      <formula1>IF($F$17="Work Rate",$T$3:$T$4,$W$2:$W$7)</formula1>
    </dataValidation>
  </dataValidations>
  <pageMargins left="0.7" right="0.7" top="0.75" bottom="0.75" header="0.3" footer="0.3"/>
  <pageSetup orientation="portrait" r:id="rId1"/>
  <headerFooter>
    <oddFooter>&amp;CDOW CONFIDENTIAL - Do not share without permission_x000D_&amp;1#&amp;"Calibri"&amp;10&amp;K000000 General Business</oddFooter>
  </headerFooter>
  <legacyDrawing r:id="rId2"/>
</worksheet>
</file>

<file path=docMetadata/LabelInfo.xml><?xml version="1.0" encoding="utf-8"?>
<clbl:labelList xmlns:clbl="http://schemas.microsoft.com/office/2020/mipLabelMetadata">
  <clbl:label id="{3aac0ad3-18d9-49e9-a80d-c985041778ba}" enabled="1" method="Standard" siteId="{c3e32f53-cb7f-4809-968d-1cc4ccc785fe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demo1_Plant</vt:lpstr>
    </vt:vector>
  </TitlesOfParts>
  <Company>Dow Chemical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Dennis, Lujin Daniel (L)</dc:creator>
  <cp:lastModifiedBy>Dennis, Lujin Daniel (L)</cp:lastModifiedBy>
  <dcterms:created xsi:type="dcterms:W3CDTF">2025-04-30T05:40:23Z</dcterms:created>
  <dcterms:modified xsi:type="dcterms:W3CDTF">2025-04-30T05:41:07Z</dcterms:modified>
</cp:coreProperties>
</file>